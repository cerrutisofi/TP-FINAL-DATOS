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fa8a9efe53b17c/Documentos/TP FINAL DATOS/"/>
    </mc:Choice>
  </mc:AlternateContent>
  <xr:revisionPtr revIDLastSave="0" documentId="11_936B57F7DC346A8067A2C4370A63FFA92E0F8519" xr6:coauthVersionLast="47" xr6:coauthVersionMax="47" xr10:uidLastSave="{00000000-0000-0000-0000-000000000000}"/>
  <bookViews>
    <workbookView minimized="1" xWindow="2520" yWindow="1836" windowWidth="17280" windowHeight="888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Hoja1!$A$1:$G$137</definedName>
    <definedName name="_xlnm.Print_Area" localSheetId="0">Hoja1!$A$42:$G$65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1" l="1"/>
  <c r="G83" i="1" l="1"/>
  <c r="G146" i="1" l="1"/>
  <c r="G106" i="1"/>
  <c r="G129" i="1"/>
  <c r="G16" i="1" l="1"/>
  <c r="G37" i="1"/>
  <c r="G55" i="1"/>
  <c r="G73" i="1"/>
</calcChain>
</file>

<file path=xl/sharedStrings.xml><?xml version="1.0" encoding="utf-8"?>
<sst xmlns="http://schemas.openxmlformats.org/spreadsheetml/2006/main" count="513" uniqueCount="156">
  <si>
    <t>ESC. DE EDUCACIÓN TÉCNICA Nº 4 (provincial) - Refacción en cocina-comedor</t>
  </si>
  <si>
    <t>MÁS ÁRBOLES - En espacios públicos del barrio</t>
  </si>
  <si>
    <t>Florida Oeste</t>
  </si>
  <si>
    <t>Munro</t>
  </si>
  <si>
    <t>SEMÁFORO - Zufriategui y Chile</t>
  </si>
  <si>
    <t>Villa Martelli</t>
  </si>
  <si>
    <t>ESCUELA PRIMARIA Nº 5 (provincial) - Equipamiento para la videoteca y las aulas</t>
  </si>
  <si>
    <t>ESCUELA SECUNDARIA Nº 3 - Obras varias y provisión de equipamiento</t>
  </si>
  <si>
    <t>CAMARAS DE VIGILANCIA - Conectadas al Centro de Monitoreo Municipal</t>
  </si>
  <si>
    <t>Carapachay</t>
  </si>
  <si>
    <t xml:space="preserve">ESC. PRIMARIA "MANUEL DORREGO" - Construcción de 2 aulas y dependencias en la azotea </t>
  </si>
  <si>
    <t>ESCUELA PRIMARIA Nº 16 - Reparación de baños y adecuación de un espacio para la Cooperadora de la Escuela.</t>
  </si>
  <si>
    <t>La Lucila</t>
  </si>
  <si>
    <t>SEMÁFOROS VEHICULARES Y PEATONALES - Av. Mitre e Italia</t>
  </si>
  <si>
    <t>BIBLIOTECA POPULAR NORA BOMBELLI - Equipos de aire acondicionado y reparación de la cubierta</t>
  </si>
  <si>
    <t>GRUPO DE LA TERCERA EDAD ASUNCION DE LA VIRGEN - Equipo de sonido portátil</t>
  </si>
  <si>
    <t>CTRO DE JUB "UNIÓN FRATERNAL DE CARAPACHAY" - 100 sillas plásticas apilables y reforzadas</t>
  </si>
  <si>
    <t>CTRO RECREATIVO DE LA 3ª EDAD - Reparación de vestuarios y cubierta sobre cancha de tejo</t>
  </si>
  <si>
    <t>ACER - Red CONIN - Rehabilitar y acondicionar un baño y construir una galería techada</t>
  </si>
  <si>
    <t>Olivos</t>
  </si>
  <si>
    <t>Vicente Lopez</t>
  </si>
  <si>
    <t>JARDÍN MATERNAL MUNICIPAL Nº 15 - Remodelar cambiadores de la sala de bebés y acondicionar un espacio para sala de psicomotricidad</t>
  </si>
  <si>
    <t>REDUCIDORES DE VELOCIDAD - Acassuso desde Mitre hasta Echeverría, Panamá y Acassuso, R. Castro y Coquimbo</t>
  </si>
  <si>
    <t>JARDÍN DE INFANTES MUNICIPAL Nº 2 - Colocar piso antigolpes y toldo para el patio</t>
  </si>
  <si>
    <t>JARDÍN MATERNAL MUNICIPAL Nº 16 - Equipamiento tecnológico: proyector, pantalla, equipo de sonido con micrófonos, notebook</t>
  </si>
  <si>
    <t>CLUB UNIÓN DE MUNRO - Refacción de baños y vestuarios y adaptarlos para personas con discapacidad</t>
  </si>
  <si>
    <t>SEMÁFOROS VEHICULARES Y PEATONALES - Av. Mitre y Paraná, Ader y Neuquén, R. Gutiérrez y Ávalos</t>
  </si>
  <si>
    <t>ESCUELA PRIMARIA Nº 10 - Refacciones interiores y pintura del patio</t>
  </si>
  <si>
    <t>JARDÍN MATERNAL MUNICIPAL Nº 9 - Modificación de las puertas de las aulas, refacción del patio y construcción de una superficie semicubierta</t>
  </si>
  <si>
    <t>JARDÍN MATERNAL MUNICIPAL Nº 4 - Construir una superficie semicubierta</t>
  </si>
  <si>
    <t>ESCUELA SECUNDARIA Nº 5 - Instalar una reja en la puerta lateral, mejorar iluminación en 2 locales y adquirir equipamiento</t>
  </si>
  <si>
    <t>ESCUELA PRIMARIA Nº 19 - Reparaciones en el frente y pintura externa</t>
  </si>
  <si>
    <t>CLUB SOCIAL Y DEPORTIVO INDUSTRIAL DE MUNRO - Mejorar iluminación de la cancha y de otros espacios interiores.</t>
  </si>
  <si>
    <t>ESCUELA SECUNDARIA BÁSICA Nº 5 - Refaccionar el baño de docentes y construir un invernadero</t>
  </si>
  <si>
    <t>ENTORNO ACCESIBLE - Rampas, demarcación y señalética en el entorno de la Escuela de Educación Especial Nº 502</t>
  </si>
  <si>
    <t>ESCUELA SECUNDARIA Nº 2 (provincial) - Reparación de cubierta, mobiliario y equipamiento</t>
  </si>
  <si>
    <t>ESCUELA PRIMARIA Nº 7 (provincial) - Equipamiento para cocina y provisión de computadora</t>
  </si>
  <si>
    <t>ESCUELA PRIMARIA Nº 20 (provincial) - Piso antigolpes en el patio</t>
  </si>
  <si>
    <t>ESCUELA DE EDUCACIÓN ESTÉTICA Nº 1 - Colocar una silla elevadora para el acceso de personas con movilidad reducida</t>
  </si>
  <si>
    <t>TALLERES SOBRE EL MANEJO DEL STRESS - Dirigidos a docentes y alumnos de instituciones educativas del barrio</t>
  </si>
  <si>
    <t>JARDIN DE INFANTES Nº 917 - Reparación del patio y colocación de piso antigolpes y juegos infantiles</t>
  </si>
  <si>
    <t>JARDIN DE INFANTES Nº 918 (provincial) - Mobiliario para biblioteca, aires acondicionados y equipo de audio</t>
  </si>
  <si>
    <t>BIBLIOTECA FROILÁN GONZÁLEZ - Compra de mobiliario y luces de lectura</t>
  </si>
  <si>
    <t>ASOCIACIÓN DE ARTISTAS PLÁSTICOS - Pintura interior y compra de una computadora</t>
  </si>
  <si>
    <t>REDUCIDORES DE VELOCIDAD - México desde Echeverria hasta Constituyentes</t>
  </si>
  <si>
    <t>COMEDOR ESCOLAR AHITO - Reparaciones en el patio y en la escalera e instalación de un aire acondicionado frío-calor</t>
  </si>
  <si>
    <t>PUNTO CAN - Dispositivos con bolsas para deposiciones caninas sobre Rawson y sobre Paraná</t>
  </si>
  <si>
    <t>CÁMARAS DE VIGILANCIA - Conectadas al Centro de Monitoreo Municipal</t>
  </si>
  <si>
    <t>ESCUELA PRIMARIA Nº 18 - Puesta en valor del Salón de Actos</t>
  </si>
  <si>
    <t>ESCUELA PRIMARIA Nº 2 - Obras en baños, reparación de instalación eléctrica y equipamiento</t>
  </si>
  <si>
    <t>SEMÁFOROS PEATONALES - Independencia e Ituzaingó</t>
  </si>
  <si>
    <t>ESC. SEC. BÁSICA Nº 15 (provincial) - Construir una huerta y realizar el cerramiento del SUM</t>
  </si>
  <si>
    <t>JARDÍN DE INFANTES Nº 912 (provincial) - Reparaciones varias, mobiliario y equipamiento</t>
  </si>
  <si>
    <t>ESC. SEC. BÁSICA Nº 17 (provincial) - Obras varias</t>
  </si>
  <si>
    <t xml:space="preserve">JARDÍN DE INFANTES Nº 905 (provincial)- Reparaciones en general </t>
  </si>
  <si>
    <t>BIBLIOTECA SOCIAL MARIANO MORENO (Soc. Fom Florida Sud) - Reparación de cubierta y de un baño</t>
  </si>
  <si>
    <t>CTRO DE JUBILADOS "AMOR Y AMISTAD" - Obras varias en el ingreso al edificio</t>
  </si>
  <si>
    <t>CÁMARAS DE VIGILANCIA - Conectadas al Centro de Monitoreo Municipal (opción 1)</t>
  </si>
  <si>
    <t>RAMPAS EN ESQUINAS - circuitos accesibles en distintas zonas del barrio</t>
  </si>
  <si>
    <t>BOMBEROS VOLUNTARIOS DE VL - Vehículo liviano de 1ª intervención (1000 lts de agua)</t>
  </si>
  <si>
    <t>JARDÍN DE INFANTES Nº 908 (provincial) - Trabajos de pintura y construcción de una salida de emergencia</t>
  </si>
  <si>
    <t>JARDÍN DE INFANTES MUNICIPAL Nº 6 - Construcción de un Salón de Usos Múltiples en la planta alta</t>
  </si>
  <si>
    <t>ESCUELA PRIMARIA Nº 31 - Trabajos de pintura interior</t>
  </si>
  <si>
    <t>ESC DE EDUCACIÓN ESPECIAL Nº 502 - Equipamiento para educación física y música</t>
  </si>
  <si>
    <t>TALLER DE CINE "EL MATE" - Mobiliario para la sala de computación y dos computadoras para editar videos</t>
  </si>
  <si>
    <t>FUNDACION HOSPICE SAN CAMILO - Trabajos de pintura interior y refacciones en la enfermería</t>
  </si>
  <si>
    <t>BOMBEROS VOLUNTARIOS DE VL - Compra de 10 equipos de respiración autónoma para intervenir en incendios</t>
  </si>
  <si>
    <t>CAMPO MUNICIPAL DE DEPORTES Nº 1 - Colocar cubierta y climatizar el natatorio de niños</t>
  </si>
  <si>
    <t>CONCIENCIA AMBIENTAL - Campaña en el Paseo de la Costa</t>
  </si>
  <si>
    <t>ESCUELA PRIMARIA Nº 8 - Remodelación de 3 grupos de baños</t>
  </si>
  <si>
    <t>CUIDEMOS EL AGUA - Talleres teatrales en escuelas del barrio</t>
  </si>
  <si>
    <t>CUIDEMOS EL AGUA - Talleres teatrales en escuelas del barrio referidos al uso responsable del agua</t>
  </si>
  <si>
    <t>ALIMENTACIÓN SALUDABLE - Talleres en escuelas del barrio</t>
  </si>
  <si>
    <t>ALIMENTACIÓN SALUDABLE -Talleres en escuelas del barrio referidos a buenos hábitos alimenticios</t>
  </si>
  <si>
    <t>ALIMENTACIÓN SALUDABLE - Talleres en escuelas del barrio referidos a buenos hábitos en alimentación</t>
  </si>
  <si>
    <t>PARQUE PASEO ENAMOUR - 2º etapa: senderos para peatones y para ciclistas</t>
  </si>
  <si>
    <t>ZOONOSIS - Analizador clínico y analizador hematológico</t>
  </si>
  <si>
    <t xml:space="preserve">BOMBEROS VOLUNTARIOS DE VL - Equipo para corte y rescate vehicular </t>
  </si>
  <si>
    <t>GRUPO SCOUT NTRA SRA DE LA PAZ - Nivelar el patio y reparar la vereda</t>
  </si>
  <si>
    <t>SEÑALIZACIÓN EN VARIAS ESQUINAS - Paso peatonal de escolares</t>
  </si>
  <si>
    <t>CÁMARAS DE VIGILANCIA URBANA - Conectadas al Centro de Monitoreo Municipal</t>
  </si>
  <si>
    <t>JARDÍN MATERNAL MUNICIPAL Nº 8 - Obras varias</t>
  </si>
  <si>
    <t xml:space="preserve">RAMPAS EN ESQUINAS - Pasaje Terragno y Maquinista Carregal </t>
  </si>
  <si>
    <t>SEMÁFORO VEHICULAR Y PEATONAL - En Carlos Gardel y Uzal</t>
  </si>
  <si>
    <t>CTRO RECREATIVO DE LA 3ª EDAD - Mesas, sillas y lockers de guardado</t>
  </si>
  <si>
    <t>RAMPAS EN ESQUINAS - Av. Libertador desde Roma hasta Villate</t>
  </si>
  <si>
    <t>COLEGIO VIRGEN DEL CARMEN - Obras varias y equipamiento</t>
  </si>
  <si>
    <t>JARDÍN DE INFANTES MUNICIPAL Nº 3 - Aires acondicionados para el SUM y para 3 salas del 1º piso</t>
  </si>
  <si>
    <t>PLAZOLETA DEL SOLAR - Instalación de mesas y bancos de cemento para actividades varias</t>
  </si>
  <si>
    <t>FUNDACION CAMINO - Remodelación interior y fachada</t>
  </si>
  <si>
    <t>ANIMALES EN APUROS ¿CÓMO PUEDO AYUDAR? - Talleres en escuelas referidos a animales abandonados en la vía pública</t>
  </si>
  <si>
    <t xml:space="preserve">ASOCIACIÓN CIVIL PELDAÑOS - Ampliación del sector de elaboración de masa de modelar </t>
  </si>
  <si>
    <t>RAMPAS EN ESQUINAS - Zona entre Av. Libertador y vías del FFCC Mitre y en otras locaciones del barrio</t>
  </si>
  <si>
    <t>CESTOS DE RESIDUOS - En postes sobre Av. Libertador desde Paraná hasta Roma</t>
  </si>
  <si>
    <t>CESTOS DE RESIDUOS - Av. del Libertador desde Roma hasta Corrientes</t>
  </si>
  <si>
    <t>CLUB DEFENSORES DE OLIVOS</t>
  </si>
  <si>
    <t>ESC SECUNDARIA BÁSICA Nº 8 - INST DE FORMACIÓN DOCENTE Nº 77 (provinciales)- Equipamiento para aulas y para el laboratorio de ciencias</t>
  </si>
  <si>
    <t>CAMPAÑA DE CONCIENTIZACIÓN SOBRE EL BULLYING - Talleres teatrales en escuelas del barrio</t>
  </si>
  <si>
    <t>JARDÍN MATERNAL MUNICIPAL Nº 5 - Ampliar el SUM y construir un espacio para la Dirección</t>
  </si>
  <si>
    <t>ESCUELA SECUNDARIA Nº 6 - Remodelación de baños y pintura de pasillos</t>
  </si>
  <si>
    <t>JUNTA VECINAL MANUEL BELGRANO - Obras varias de reparación del edificio</t>
  </si>
  <si>
    <t>INSTITUTO DE MÚSICA MUNICIPAL "JOSÉ HERNÁNDEZ": REPARACIONES VARIAS Y EQUIPAMIENTO</t>
  </si>
  <si>
    <t>CTRO. DE LA TERCERA EDAD UNIDOS EN ARMONÍA - Instalación de una reja y cambio de una puerta</t>
  </si>
  <si>
    <t>BOMBEROS VOLUNTARIOS DE VL - Equipo para rescate en altura, equipos de iluminación y cámara térmica</t>
  </si>
  <si>
    <t>BOMBEROS VOLUNTARIOS DE VICENTE LÓPEZ - 25 equipos de estructurales para intervenir en incendios</t>
  </si>
  <si>
    <t>SEMÁFORO Y SEÑALIZACIÓN - Desde Güemes y Posadas hasta Roca y Posadas (sendero escolar)</t>
  </si>
  <si>
    <t>ESCUELA DE EDUCACIÓN TÉCNICA Nº 2 - Reparaciones varias, mobiliario y equipamiento tecnológico</t>
  </si>
  <si>
    <t>BIBLIOTECA TECNOLÓGICA PÚBLICA - En Almafuerte al 4600 (etapa 1)</t>
  </si>
  <si>
    <t>CENTRO BARRIAL DE JUVENTUD - Equipamiento para la sede de Sgto. Cabral y R. Gutiérrez</t>
  </si>
  <si>
    <t>CENTRO BARRIAL DE JUVENTUD - Modificaciones en el Salón de Usos Múltiples de la sede</t>
  </si>
  <si>
    <t>BARRIO SÍVORI - Mejoras en algunas veredas y pintura de algunos frentes</t>
  </si>
  <si>
    <t>ARTE EN LA ESCUELA - Talleres artísticos en escuelas del barrio</t>
  </si>
  <si>
    <t>ARTE EN LA ESCUELA: talleres artísticos en escuelas del barrio</t>
  </si>
  <si>
    <t>CÁMARAS DE VIGILANCIA - Conectadas al Centro de Monitoreo Municipal (opción 2)</t>
  </si>
  <si>
    <t>JARDÍN MATERNAL MUNICIPAL Nº 2 - Equipamiento tecnológico</t>
  </si>
  <si>
    <t>PROYECTO</t>
  </si>
  <si>
    <t>PRESUPUESTO ESTIMADO</t>
  </si>
  <si>
    <t>BARRIO</t>
  </si>
  <si>
    <t>Cantidad de votos</t>
  </si>
  <si>
    <t>EXCEDE SUBLIMITE ESCUELAS PROVINCIALES</t>
  </si>
  <si>
    <t>EXCEDE PRESUPUESTO</t>
  </si>
  <si>
    <t>Suma presupuesto proyectos ganadores</t>
  </si>
  <si>
    <t>JARDÍN MATERNAL MUNICIPAL Nº 1 - Superficie cubierta con techo traslúcido y equipamiento tecnológico</t>
  </si>
  <si>
    <t>Orden en la votación</t>
  </si>
  <si>
    <t>SI</t>
  </si>
  <si>
    <t>NO</t>
  </si>
  <si>
    <t>ISFD Nº 39 - Etapa 3 del Centro Cultural Jean Piaget</t>
  </si>
  <si>
    <t>GANADOR</t>
  </si>
  <si>
    <t>CENTRO DE FORMACIÓN PROFESIONAL Nº 402 e ISFT Nº 220 - Aire acondicionado para el Salón de Usos Múltiples del 1º piso</t>
  </si>
  <si>
    <t>Florida Este</t>
  </si>
  <si>
    <t>BOMBEROS VOLUNTARIOS DE VL - Compresor de aire para equipos de respiración autónoma</t>
  </si>
  <si>
    <t>CLUB SOC Y DEP CASEROS - Realizar el techado de la azotea</t>
  </si>
  <si>
    <t>SOC. DE FOMENTO ARISTÓBULO DEL VALLE - Instalación de un ascensor</t>
  </si>
  <si>
    <t>CRUZ ROJA ARGENTINA - Vehículo utilitario mediano con acoplado y equipamiento</t>
  </si>
  <si>
    <t>ESCUELA SECUNDARIA Nº 8 - Refacciones en los baños y otros sectores del edificio</t>
  </si>
  <si>
    <t>JARDÍN DE INFANTES Nº 911 - Modificación integral del Jardín (etapa 1)</t>
  </si>
  <si>
    <t>ZOONOSIS - Equipo de anestesia inhalatoria</t>
  </si>
  <si>
    <t>ESCUELA SECUNDARIA Nº 7 - Refacción de un baño, provisión de telón, iluminadores y equipos para el laboratorio de ciencias</t>
  </si>
  <si>
    <t>ESCUELA SECUNDARIA Nº 4 - Reparar cubierta del gimnasio y remodelar vestuarios</t>
  </si>
  <si>
    <t>CTRO DE JUBILADOS "Amigos de la Est. Florida Mitre" - Ampliar el Salón de Usos Múltiples</t>
  </si>
  <si>
    <t>ALIMENTACIÓN SALUDABLE - Talleres en escuelas del barrio referidos a buenos hábitos alimenticios</t>
  </si>
  <si>
    <t xml:space="preserve">ASOC CIVIL MADRES DEL DOLOR - Obras de albañilería y pintura interior </t>
  </si>
  <si>
    <t>PUNTOS DE RECREACIÓN EN PLAZAS - Equipamiento deportivo (mesas de ping pong - aros de básquet)</t>
  </si>
  <si>
    <t>SEMÁFOROS A DEMANDA - Valle Grande y Roca y en Rosetti y Roca</t>
  </si>
  <si>
    <t>PLAZA HÉCTOR "TOTO" GONZÁLEZ - Puesta en valor</t>
  </si>
  <si>
    <t>Villa Adelina</t>
  </si>
  <si>
    <t>ESC EDUCACIÓN TÉCNICA Nº 1 - Sistema contra incendio para laboratorio y equipamiento</t>
  </si>
  <si>
    <t>CLUB SOCIEDADES UNIDAS DE VILLA ADELINA (SUVA) - Refacción y ampliación del SUM (Etapa 1)</t>
  </si>
  <si>
    <t>AVAPEA - PLAZA ADER - Etapa 2 del SUM: construcción de baños, iluminación y obras varias</t>
  </si>
  <si>
    <t xml:space="preserve">JARDÍN DE INFANTES MUNICIPAL Nº 7 - Equipos de sonido para el SUM y para las aulas, proyector y horno para cerámica </t>
  </si>
  <si>
    <t>POLIDEPORTIVO DE VILLA ADELINA - Equipamiento para actividades deportivas y provisión de computadoras</t>
  </si>
  <si>
    <t>CÁMARAS DE VIGILANCIA URBANA conectadas al Centro de Monitoreo Municipal</t>
  </si>
  <si>
    <t>PLAZA EDUARDO ADER - Reparación de veredas y corte de raíces sobre calle Sgo. del Estero</t>
  </si>
  <si>
    <t>JARDÍN DE INFANTES Nº 907 - Cerramiento en entrepiso y provisión de equipamiento</t>
  </si>
  <si>
    <t>BIBLIOTECA INFANTIL SEMILLA DE CUENTOS - Alero sobre el deck, juegos y libros y baño químico (Plaza José Ingenieros)</t>
  </si>
  <si>
    <t>PLAZOLETA 9 DE JULIO Y PARANÁ - Puesta en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</si>
</sst>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165" fontId="5" fillId="2" borderId="10" xfId="1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vertical="center" wrapText="1"/>
    </xf>
    <xf numFmtId="165" fontId="0" fillId="3" borderId="3" xfId="1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65" fontId="0" fillId="3" borderId="1" xfId="1" applyNumberFormat="1" applyFont="1" applyFill="1" applyBorder="1" applyAlignment="1">
      <alignment vertical="center"/>
    </xf>
    <xf numFmtId="165" fontId="2" fillId="3" borderId="11" xfId="1" applyNumberFormat="1" applyFont="1" applyFill="1" applyBorder="1" applyAlignment="1">
      <alignment vertical="center"/>
    </xf>
    <xf numFmtId="165" fontId="2" fillId="3" borderId="11" xfId="1" applyNumberFormat="1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/>
    </xf>
    <xf numFmtId="0" fontId="0" fillId="3" borderId="8" xfId="0" applyFill="1" applyBorder="1" applyAlignment="1">
      <alignment vertical="center" wrapText="1"/>
    </xf>
    <xf numFmtId="165" fontId="0" fillId="3" borderId="8" xfId="1" applyNumberFormat="1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165" fontId="0" fillId="4" borderId="1" xfId="1" applyNumberFormat="1" applyFont="1" applyFill="1" applyBorder="1" applyAlignment="1">
      <alignment vertical="center"/>
    </xf>
    <xf numFmtId="165" fontId="4" fillId="4" borderId="1" xfId="1" applyNumberFormat="1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vertical="center"/>
    </xf>
    <xf numFmtId="0" fontId="0" fillId="4" borderId="8" xfId="0" applyFill="1" applyBorder="1" applyAlignment="1">
      <alignment vertical="center" wrapText="1"/>
    </xf>
    <xf numFmtId="165" fontId="0" fillId="4" borderId="8" xfId="1" applyNumberFormat="1" applyFont="1" applyFill="1" applyBorder="1" applyAlignment="1">
      <alignment vertical="center"/>
    </xf>
    <xf numFmtId="165" fontId="4" fillId="4" borderId="8" xfId="1" applyNumberFormat="1" applyFont="1" applyFill="1" applyBorder="1" applyAlignment="1">
      <alignment horizontal="center" vertical="center" wrapText="1"/>
    </xf>
    <xf numFmtId="165" fontId="0" fillId="3" borderId="12" xfId="1" applyNumberFormat="1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vertical="center"/>
    </xf>
    <xf numFmtId="165" fontId="4" fillId="4" borderId="10" xfId="1" applyNumberFormat="1" applyFont="1" applyFill="1" applyBorder="1" applyAlignment="1">
      <alignment horizontal="center" vertical="center" wrapText="1"/>
    </xf>
    <xf numFmtId="165" fontId="4" fillId="4" borderId="13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5" fontId="4" fillId="3" borderId="4" xfId="1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165" fontId="3" fillId="4" borderId="1" xfId="1" applyNumberFormat="1" applyFont="1" applyFill="1" applyBorder="1" applyAlignment="1">
      <alignment vertical="center"/>
    </xf>
    <xf numFmtId="165" fontId="6" fillId="4" borderId="6" xfId="1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65" fontId="0" fillId="3" borderId="6" xfId="1" applyNumberFormat="1" applyFont="1" applyFill="1" applyBorder="1" applyAlignment="1">
      <alignment vertical="center"/>
    </xf>
    <xf numFmtId="165" fontId="2" fillId="3" borderId="6" xfId="1" applyNumberFormat="1" applyFont="1" applyFill="1" applyBorder="1" applyAlignment="1">
      <alignment vertical="center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165" fontId="6" fillId="4" borderId="9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65" fontId="0" fillId="3" borderId="4" xfId="1" applyNumberFormat="1" applyFont="1" applyFill="1" applyBorder="1" applyAlignment="1">
      <alignment vertical="center"/>
    </xf>
    <xf numFmtId="0" fontId="0" fillId="3" borderId="7" xfId="0" applyFill="1" applyBorder="1" applyAlignment="1">
      <alignment horizontal="center" vertical="center" wrapText="1"/>
    </xf>
    <xf numFmtId="165" fontId="2" fillId="3" borderId="9" xfId="1" applyNumberFormat="1" applyFont="1" applyFill="1" applyBorder="1" applyAlignment="1">
      <alignment vertical="center"/>
    </xf>
    <xf numFmtId="165" fontId="4" fillId="4" borderId="6" xfId="1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6"/>
  <sheetViews>
    <sheetView tabSelected="1" zoomScale="120" zoomScaleNormal="120" workbookViewId="0">
      <selection activeCell="I104" sqref="I104"/>
    </sheetView>
  </sheetViews>
  <sheetFormatPr baseColWidth="10" defaultColWidth="11.44140625" defaultRowHeight="14.4" x14ac:dyDescent="0.3"/>
  <cols>
    <col min="1" max="1" width="9.5546875" style="2" customWidth="1"/>
    <col min="2" max="2" width="10.33203125" style="2" customWidth="1"/>
    <col min="3" max="3" width="9.44140625" style="2" customWidth="1"/>
    <col min="4" max="4" width="13.5546875" style="3" customWidth="1"/>
    <col min="5" max="5" width="51.44140625" style="1" customWidth="1"/>
    <col min="6" max="6" width="14.6640625" style="4" customWidth="1"/>
    <col min="7" max="7" width="16.88671875" style="4" customWidth="1"/>
    <col min="8" max="8" width="12.6640625" style="3" bestFit="1" customWidth="1"/>
    <col min="9" max="16384" width="11.44140625" style="3"/>
  </cols>
  <sheetData>
    <row r="1" spans="1:7" s="5" customFormat="1" ht="42" customHeight="1" thickBot="1" x14ac:dyDescent="0.35">
      <c r="A1" s="6" t="s">
        <v>118</v>
      </c>
      <c r="B1" s="6" t="s">
        <v>123</v>
      </c>
      <c r="C1" s="6" t="s">
        <v>127</v>
      </c>
      <c r="D1" s="6" t="s">
        <v>117</v>
      </c>
      <c r="E1" s="6" t="s">
        <v>115</v>
      </c>
      <c r="F1" s="7" t="s">
        <v>116</v>
      </c>
      <c r="G1" s="7" t="s">
        <v>121</v>
      </c>
    </row>
    <row r="2" spans="1:7" ht="31.5" customHeight="1" x14ac:dyDescent="0.3">
      <c r="A2" s="9">
        <v>959</v>
      </c>
      <c r="B2" s="10">
        <v>1</v>
      </c>
      <c r="C2" s="10" t="s">
        <v>124</v>
      </c>
      <c r="D2" s="11" t="s">
        <v>5</v>
      </c>
      <c r="E2" s="12" t="s">
        <v>104</v>
      </c>
      <c r="F2" s="13">
        <v>978500</v>
      </c>
      <c r="G2" s="13"/>
    </row>
    <row r="3" spans="1:7" ht="28.8" x14ac:dyDescent="0.3">
      <c r="A3" s="14">
        <v>506</v>
      </c>
      <c r="B3" s="14">
        <v>2</v>
      </c>
      <c r="C3" s="14" t="s">
        <v>124</v>
      </c>
      <c r="D3" s="15" t="s">
        <v>5</v>
      </c>
      <c r="E3" s="16" t="s">
        <v>97</v>
      </c>
      <c r="F3" s="17">
        <v>193892</v>
      </c>
      <c r="G3" s="17"/>
    </row>
    <row r="4" spans="1:7" ht="21" customHeight="1" x14ac:dyDescent="0.3">
      <c r="A4" s="14">
        <v>487</v>
      </c>
      <c r="B4" s="14">
        <v>3</v>
      </c>
      <c r="C4" s="14" t="s">
        <v>124</v>
      </c>
      <c r="D4" s="15" t="s">
        <v>5</v>
      </c>
      <c r="E4" s="16" t="s">
        <v>89</v>
      </c>
      <c r="F4" s="17">
        <v>1500000</v>
      </c>
      <c r="G4" s="17"/>
    </row>
    <row r="5" spans="1:7" ht="28.8" x14ac:dyDescent="0.3">
      <c r="A5" s="14">
        <v>482</v>
      </c>
      <c r="B5" s="14">
        <v>4</v>
      </c>
      <c r="C5" s="14" t="s">
        <v>124</v>
      </c>
      <c r="D5" s="15" t="s">
        <v>5</v>
      </c>
      <c r="E5" s="16" t="s">
        <v>35</v>
      </c>
      <c r="F5" s="17">
        <v>1200000</v>
      </c>
      <c r="G5" s="17"/>
    </row>
    <row r="6" spans="1:7" ht="28.8" x14ac:dyDescent="0.3">
      <c r="A6" s="14">
        <v>446</v>
      </c>
      <c r="B6" s="14">
        <v>5</v>
      </c>
      <c r="C6" s="14" t="s">
        <v>124</v>
      </c>
      <c r="D6" s="15" t="s">
        <v>5</v>
      </c>
      <c r="E6" s="16" t="s">
        <v>42</v>
      </c>
      <c r="F6" s="17">
        <v>132000</v>
      </c>
      <c r="G6" s="17"/>
    </row>
    <row r="7" spans="1:7" ht="28.8" x14ac:dyDescent="0.3">
      <c r="A7" s="14">
        <v>393</v>
      </c>
      <c r="B7" s="14">
        <v>6</v>
      </c>
      <c r="C7" s="14" t="s">
        <v>124</v>
      </c>
      <c r="D7" s="15" t="s">
        <v>5</v>
      </c>
      <c r="E7" s="16" t="s">
        <v>80</v>
      </c>
      <c r="F7" s="17">
        <v>1130000</v>
      </c>
      <c r="G7" s="17"/>
    </row>
    <row r="8" spans="1:7" x14ac:dyDescent="0.3">
      <c r="A8" s="14">
        <v>373</v>
      </c>
      <c r="B8" s="14">
        <v>7</v>
      </c>
      <c r="C8" s="14" t="s">
        <v>124</v>
      </c>
      <c r="D8" s="15" t="s">
        <v>5</v>
      </c>
      <c r="E8" s="16" t="s">
        <v>76</v>
      </c>
      <c r="F8" s="17">
        <v>413270</v>
      </c>
      <c r="G8" s="17"/>
    </row>
    <row r="9" spans="1:7" ht="28.8" x14ac:dyDescent="0.3">
      <c r="A9" s="14">
        <v>325</v>
      </c>
      <c r="B9" s="14">
        <v>8</v>
      </c>
      <c r="C9" s="14" t="s">
        <v>124</v>
      </c>
      <c r="D9" s="15" t="s">
        <v>5</v>
      </c>
      <c r="E9" s="16" t="s">
        <v>41</v>
      </c>
      <c r="F9" s="17">
        <v>209000</v>
      </c>
      <c r="G9" s="17"/>
    </row>
    <row r="10" spans="1:7" ht="30.75" customHeight="1" x14ac:dyDescent="0.3">
      <c r="A10" s="14">
        <v>280</v>
      </c>
      <c r="B10" s="14">
        <v>9</v>
      </c>
      <c r="C10" s="14" t="s">
        <v>124</v>
      </c>
      <c r="D10" s="15" t="s">
        <v>5</v>
      </c>
      <c r="E10" s="16" t="s">
        <v>122</v>
      </c>
      <c r="F10" s="17">
        <v>260000</v>
      </c>
      <c r="G10" s="17"/>
    </row>
    <row r="11" spans="1:7" ht="28.8" x14ac:dyDescent="0.3">
      <c r="A11" s="14">
        <v>220</v>
      </c>
      <c r="B11" s="14">
        <v>10</v>
      </c>
      <c r="C11" s="14" t="s">
        <v>124</v>
      </c>
      <c r="D11" s="15" t="s">
        <v>5</v>
      </c>
      <c r="E11" s="16" t="s">
        <v>37</v>
      </c>
      <c r="F11" s="17">
        <v>120000</v>
      </c>
      <c r="G11" s="17"/>
    </row>
    <row r="12" spans="1:7" ht="28.8" x14ac:dyDescent="0.3">
      <c r="A12" s="14">
        <v>191</v>
      </c>
      <c r="B12" s="14">
        <v>11</v>
      </c>
      <c r="C12" s="14" t="s">
        <v>124</v>
      </c>
      <c r="D12" s="15" t="s">
        <v>5</v>
      </c>
      <c r="E12" s="16" t="s">
        <v>36</v>
      </c>
      <c r="F12" s="17">
        <v>346000</v>
      </c>
      <c r="G12" s="17"/>
    </row>
    <row r="13" spans="1:7" ht="28.8" x14ac:dyDescent="0.3">
      <c r="A13" s="14">
        <v>177</v>
      </c>
      <c r="B13" s="14">
        <v>12</v>
      </c>
      <c r="C13" s="14" t="s">
        <v>124</v>
      </c>
      <c r="D13" s="15" t="s">
        <v>5</v>
      </c>
      <c r="E13" s="16" t="s">
        <v>102</v>
      </c>
      <c r="F13" s="17">
        <v>180000</v>
      </c>
      <c r="G13" s="17"/>
    </row>
    <row r="14" spans="1:7" ht="24.75" customHeight="1" x14ac:dyDescent="0.3">
      <c r="A14" s="14">
        <v>146</v>
      </c>
      <c r="B14" s="14">
        <v>13</v>
      </c>
      <c r="C14" s="14" t="s">
        <v>124</v>
      </c>
      <c r="D14" s="15" t="s">
        <v>5</v>
      </c>
      <c r="E14" s="16" t="s">
        <v>4</v>
      </c>
      <c r="F14" s="17">
        <v>208300</v>
      </c>
      <c r="G14" s="17"/>
    </row>
    <row r="15" spans="1:7" ht="26.25" customHeight="1" x14ac:dyDescent="0.3">
      <c r="A15" s="14">
        <v>115</v>
      </c>
      <c r="B15" s="14">
        <v>14</v>
      </c>
      <c r="C15" s="14" t="s">
        <v>124</v>
      </c>
      <c r="D15" s="15" t="s">
        <v>5</v>
      </c>
      <c r="E15" s="16" t="s">
        <v>1</v>
      </c>
      <c r="F15" s="17">
        <v>200000</v>
      </c>
      <c r="G15" s="17"/>
    </row>
    <row r="16" spans="1:7" ht="28.8" x14ac:dyDescent="0.3">
      <c r="A16" s="14">
        <v>89</v>
      </c>
      <c r="B16" s="14">
        <v>15</v>
      </c>
      <c r="C16" s="14" t="s">
        <v>124</v>
      </c>
      <c r="D16" s="15" t="s">
        <v>5</v>
      </c>
      <c r="E16" s="16" t="s">
        <v>43</v>
      </c>
      <c r="F16" s="17">
        <v>120000</v>
      </c>
      <c r="G16" s="18">
        <f>SUM(F2:F16)</f>
        <v>7190962</v>
      </c>
    </row>
    <row r="17" spans="1:7" ht="28.8" x14ac:dyDescent="0.3">
      <c r="A17" s="25">
        <v>84</v>
      </c>
      <c r="B17" s="25">
        <v>16</v>
      </c>
      <c r="C17" s="25" t="s">
        <v>125</v>
      </c>
      <c r="D17" s="26" t="s">
        <v>5</v>
      </c>
      <c r="E17" s="27" t="s">
        <v>111</v>
      </c>
      <c r="F17" s="28">
        <v>280000</v>
      </c>
      <c r="G17" s="29" t="s">
        <v>120</v>
      </c>
    </row>
    <row r="18" spans="1:7" ht="28.8" x14ac:dyDescent="0.3">
      <c r="A18" s="25">
        <v>81</v>
      </c>
      <c r="B18" s="25">
        <v>17</v>
      </c>
      <c r="C18" s="25" t="s">
        <v>125</v>
      </c>
      <c r="D18" s="26" t="s">
        <v>5</v>
      </c>
      <c r="E18" s="27" t="s">
        <v>79</v>
      </c>
      <c r="F18" s="28">
        <v>480000</v>
      </c>
      <c r="G18" s="29" t="s">
        <v>120</v>
      </c>
    </row>
    <row r="19" spans="1:7" x14ac:dyDescent="0.3">
      <c r="A19" s="25">
        <v>72</v>
      </c>
      <c r="B19" s="25">
        <v>18</v>
      </c>
      <c r="C19" s="25" t="s">
        <v>125</v>
      </c>
      <c r="D19" s="26" t="s">
        <v>5</v>
      </c>
      <c r="E19" s="27" t="s">
        <v>72</v>
      </c>
      <c r="F19" s="28">
        <v>280000</v>
      </c>
      <c r="G19" s="29" t="s">
        <v>120</v>
      </c>
    </row>
    <row r="20" spans="1:7" ht="28.8" x14ac:dyDescent="0.3">
      <c r="A20" s="25">
        <v>67</v>
      </c>
      <c r="B20" s="25">
        <v>19</v>
      </c>
      <c r="C20" s="25" t="s">
        <v>125</v>
      </c>
      <c r="D20" s="26" t="s">
        <v>5</v>
      </c>
      <c r="E20" s="27" t="s">
        <v>44</v>
      </c>
      <c r="F20" s="28">
        <v>135000</v>
      </c>
      <c r="G20" s="29" t="s">
        <v>120</v>
      </c>
    </row>
    <row r="21" spans="1:7" ht="29.4" thickBot="1" x14ac:dyDescent="0.35">
      <c r="A21" s="30">
        <v>55</v>
      </c>
      <c r="B21" s="30">
        <v>20</v>
      </c>
      <c r="C21" s="30" t="s">
        <v>125</v>
      </c>
      <c r="D21" s="31" t="s">
        <v>5</v>
      </c>
      <c r="E21" s="32" t="s">
        <v>70</v>
      </c>
      <c r="F21" s="33">
        <v>280000</v>
      </c>
      <c r="G21" s="29" t="s">
        <v>120</v>
      </c>
    </row>
    <row r="22" spans="1:7" ht="28.8" x14ac:dyDescent="0.3">
      <c r="A22" s="9">
        <v>984</v>
      </c>
      <c r="B22" s="9">
        <v>1</v>
      </c>
      <c r="C22" s="9" t="s">
        <v>124</v>
      </c>
      <c r="D22" s="11" t="s">
        <v>2</v>
      </c>
      <c r="E22" s="12" t="s">
        <v>0</v>
      </c>
      <c r="F22" s="13">
        <v>1900000</v>
      </c>
      <c r="G22" s="13"/>
    </row>
    <row r="23" spans="1:7" ht="43.2" x14ac:dyDescent="0.3">
      <c r="A23" s="25">
        <v>962</v>
      </c>
      <c r="B23" s="25">
        <v>2</v>
      </c>
      <c r="C23" s="25" t="s">
        <v>125</v>
      </c>
      <c r="D23" s="26" t="s">
        <v>2</v>
      </c>
      <c r="E23" s="27" t="s">
        <v>96</v>
      </c>
      <c r="F23" s="28">
        <v>1500000</v>
      </c>
      <c r="G23" s="29" t="s">
        <v>119</v>
      </c>
    </row>
    <row r="24" spans="1:7" ht="28.8" x14ac:dyDescent="0.3">
      <c r="A24" s="14">
        <v>920</v>
      </c>
      <c r="B24" s="14">
        <v>3</v>
      </c>
      <c r="C24" s="14" t="s">
        <v>124</v>
      </c>
      <c r="D24" s="15" t="s">
        <v>2</v>
      </c>
      <c r="E24" s="16" t="s">
        <v>52</v>
      </c>
      <c r="F24" s="17">
        <v>1100000</v>
      </c>
      <c r="G24" s="17"/>
    </row>
    <row r="25" spans="1:7" ht="28.8" x14ac:dyDescent="0.3">
      <c r="A25" s="14">
        <v>800</v>
      </c>
      <c r="B25" s="14">
        <v>4</v>
      </c>
      <c r="C25" s="14" t="s">
        <v>124</v>
      </c>
      <c r="D25" s="15" t="s">
        <v>2</v>
      </c>
      <c r="E25" s="16" t="s">
        <v>10</v>
      </c>
      <c r="F25" s="17">
        <v>2300000</v>
      </c>
      <c r="G25" s="17"/>
    </row>
    <row r="26" spans="1:7" ht="28.8" x14ac:dyDescent="0.3">
      <c r="A26" s="14">
        <v>768</v>
      </c>
      <c r="B26" s="14">
        <v>5</v>
      </c>
      <c r="C26" s="14" t="s">
        <v>124</v>
      </c>
      <c r="D26" s="15" t="s">
        <v>2</v>
      </c>
      <c r="E26" s="16" t="s">
        <v>14</v>
      </c>
      <c r="F26" s="17">
        <v>399125</v>
      </c>
      <c r="G26" s="17"/>
    </row>
    <row r="27" spans="1:7" ht="21" customHeight="1" x14ac:dyDescent="0.3">
      <c r="A27" s="14">
        <v>569</v>
      </c>
      <c r="B27" s="14">
        <v>6</v>
      </c>
      <c r="C27" s="14" t="s">
        <v>124</v>
      </c>
      <c r="D27" s="15" t="s">
        <v>2</v>
      </c>
      <c r="E27" s="16" t="s">
        <v>81</v>
      </c>
      <c r="F27" s="17">
        <v>965000</v>
      </c>
      <c r="G27" s="17"/>
    </row>
    <row r="28" spans="1:7" ht="28.8" x14ac:dyDescent="0.3">
      <c r="A28" s="25">
        <v>553</v>
      </c>
      <c r="B28" s="25">
        <v>7</v>
      </c>
      <c r="C28" s="25" t="s">
        <v>125</v>
      </c>
      <c r="D28" s="26" t="s">
        <v>2</v>
      </c>
      <c r="E28" s="27" t="s">
        <v>57</v>
      </c>
      <c r="F28" s="28">
        <v>2182000</v>
      </c>
      <c r="G28" s="29" t="s">
        <v>120</v>
      </c>
    </row>
    <row r="29" spans="1:7" ht="28.8" x14ac:dyDescent="0.3">
      <c r="A29" s="25">
        <v>256</v>
      </c>
      <c r="B29" s="25">
        <v>8</v>
      </c>
      <c r="C29" s="25" t="s">
        <v>125</v>
      </c>
      <c r="D29" s="26" t="s">
        <v>2</v>
      </c>
      <c r="E29" s="27" t="s">
        <v>54</v>
      </c>
      <c r="F29" s="28">
        <v>305000</v>
      </c>
      <c r="G29" s="29" t="s">
        <v>119</v>
      </c>
    </row>
    <row r="30" spans="1:7" ht="28.8" x14ac:dyDescent="0.3">
      <c r="A30" s="25">
        <v>250</v>
      </c>
      <c r="B30" s="25">
        <v>9</v>
      </c>
      <c r="C30" s="25" t="s">
        <v>125</v>
      </c>
      <c r="D30" s="26" t="s">
        <v>2</v>
      </c>
      <c r="E30" s="27" t="s">
        <v>6</v>
      </c>
      <c r="F30" s="28">
        <v>494000</v>
      </c>
      <c r="G30" s="29" t="s">
        <v>119</v>
      </c>
    </row>
    <row r="31" spans="1:7" ht="28.8" x14ac:dyDescent="0.3">
      <c r="A31" s="14">
        <v>225</v>
      </c>
      <c r="B31" s="14">
        <v>10</v>
      </c>
      <c r="C31" s="14" t="s">
        <v>124</v>
      </c>
      <c r="D31" s="15" t="s">
        <v>2</v>
      </c>
      <c r="E31" s="16" t="s">
        <v>55</v>
      </c>
      <c r="F31" s="17">
        <v>266000</v>
      </c>
      <c r="G31" s="17"/>
    </row>
    <row r="32" spans="1:7" ht="28.8" x14ac:dyDescent="0.3">
      <c r="A32" s="25">
        <v>206</v>
      </c>
      <c r="B32" s="25">
        <v>11</v>
      </c>
      <c r="C32" s="25" t="s">
        <v>125</v>
      </c>
      <c r="D32" s="26" t="s">
        <v>2</v>
      </c>
      <c r="E32" s="27" t="s">
        <v>105</v>
      </c>
      <c r="F32" s="28">
        <v>597500</v>
      </c>
      <c r="G32" s="29" t="s">
        <v>120</v>
      </c>
    </row>
    <row r="33" spans="1:7" ht="28.8" x14ac:dyDescent="0.3">
      <c r="A33" s="25">
        <v>197</v>
      </c>
      <c r="B33" s="25">
        <v>12</v>
      </c>
      <c r="C33" s="25" t="s">
        <v>125</v>
      </c>
      <c r="D33" s="26" t="s">
        <v>2</v>
      </c>
      <c r="E33" s="27" t="s">
        <v>18</v>
      </c>
      <c r="F33" s="28">
        <v>440000</v>
      </c>
      <c r="G33" s="29" t="s">
        <v>120</v>
      </c>
    </row>
    <row r="34" spans="1:7" ht="28.8" x14ac:dyDescent="0.3">
      <c r="A34" s="25">
        <v>196</v>
      </c>
      <c r="B34" s="25">
        <v>13</v>
      </c>
      <c r="C34" s="25" t="s">
        <v>125</v>
      </c>
      <c r="D34" s="26" t="s">
        <v>2</v>
      </c>
      <c r="E34" s="27" t="s">
        <v>98</v>
      </c>
      <c r="F34" s="28">
        <v>890000</v>
      </c>
      <c r="G34" s="29" t="s">
        <v>120</v>
      </c>
    </row>
    <row r="35" spans="1:7" ht="28.8" x14ac:dyDescent="0.3">
      <c r="A35" s="25">
        <v>188</v>
      </c>
      <c r="B35" s="25">
        <v>14</v>
      </c>
      <c r="C35" s="25" t="s">
        <v>125</v>
      </c>
      <c r="D35" s="26" t="s">
        <v>2</v>
      </c>
      <c r="E35" s="27" t="s">
        <v>113</v>
      </c>
      <c r="F35" s="28">
        <v>1090000</v>
      </c>
      <c r="G35" s="29" t="s">
        <v>120</v>
      </c>
    </row>
    <row r="36" spans="1:7" x14ac:dyDescent="0.3">
      <c r="A36" s="25">
        <v>172</v>
      </c>
      <c r="B36" s="25">
        <v>15</v>
      </c>
      <c r="C36" s="25" t="s">
        <v>125</v>
      </c>
      <c r="D36" s="26" t="s">
        <v>2</v>
      </c>
      <c r="E36" s="27" t="s">
        <v>13</v>
      </c>
      <c r="F36" s="28">
        <v>549100</v>
      </c>
      <c r="G36" s="29" t="s">
        <v>120</v>
      </c>
    </row>
    <row r="37" spans="1:7" ht="28.8" x14ac:dyDescent="0.3">
      <c r="A37" s="14">
        <v>170</v>
      </c>
      <c r="B37" s="14">
        <v>16</v>
      </c>
      <c r="C37" s="14" t="s">
        <v>124</v>
      </c>
      <c r="D37" s="15" t="s">
        <v>2</v>
      </c>
      <c r="E37" s="16" t="s">
        <v>56</v>
      </c>
      <c r="F37" s="17">
        <v>210000</v>
      </c>
      <c r="G37" s="19">
        <f>SUM(F37,F31,F24:F27,F22)</f>
        <v>7140125</v>
      </c>
    </row>
    <row r="38" spans="1:7" ht="28.8" x14ac:dyDescent="0.3">
      <c r="A38" s="25">
        <v>148</v>
      </c>
      <c r="B38" s="25">
        <v>17</v>
      </c>
      <c r="C38" s="25" t="s">
        <v>125</v>
      </c>
      <c r="D38" s="26" t="s">
        <v>2</v>
      </c>
      <c r="E38" s="27" t="s">
        <v>60</v>
      </c>
      <c r="F38" s="28">
        <v>305000</v>
      </c>
      <c r="G38" s="29" t="s">
        <v>119</v>
      </c>
    </row>
    <row r="39" spans="1:7" ht="20.399999999999999" x14ac:dyDescent="0.3">
      <c r="A39" s="25">
        <v>136</v>
      </c>
      <c r="B39" s="25">
        <v>18</v>
      </c>
      <c r="C39" s="25" t="s">
        <v>125</v>
      </c>
      <c r="D39" s="26" t="s">
        <v>2</v>
      </c>
      <c r="E39" s="27" t="s">
        <v>53</v>
      </c>
      <c r="F39" s="28">
        <v>160000</v>
      </c>
      <c r="G39" s="29" t="s">
        <v>119</v>
      </c>
    </row>
    <row r="40" spans="1:7" ht="28.8" x14ac:dyDescent="0.3">
      <c r="A40" s="25">
        <v>95</v>
      </c>
      <c r="B40" s="25">
        <v>19</v>
      </c>
      <c r="C40" s="25" t="s">
        <v>125</v>
      </c>
      <c r="D40" s="26" t="s">
        <v>2</v>
      </c>
      <c r="E40" s="27" t="s">
        <v>51</v>
      </c>
      <c r="F40" s="28">
        <v>100000</v>
      </c>
      <c r="G40" s="29" t="s">
        <v>119</v>
      </c>
    </row>
    <row r="41" spans="1:7" ht="29.4" thickBot="1" x14ac:dyDescent="0.35">
      <c r="A41" s="30">
        <v>48</v>
      </c>
      <c r="B41" s="30">
        <v>20</v>
      </c>
      <c r="C41" s="30" t="s">
        <v>125</v>
      </c>
      <c r="D41" s="31" t="s">
        <v>2</v>
      </c>
      <c r="E41" s="32" t="s">
        <v>70</v>
      </c>
      <c r="F41" s="33">
        <v>280000</v>
      </c>
      <c r="G41" s="34" t="s">
        <v>119</v>
      </c>
    </row>
    <row r="42" spans="1:7" ht="36" customHeight="1" x14ac:dyDescent="0.3">
      <c r="A42" s="9">
        <v>763</v>
      </c>
      <c r="B42" s="9">
        <v>1</v>
      </c>
      <c r="C42" s="9" t="s">
        <v>124</v>
      </c>
      <c r="D42" s="11" t="s">
        <v>3</v>
      </c>
      <c r="E42" s="12" t="s">
        <v>107</v>
      </c>
      <c r="F42" s="13">
        <v>2000000</v>
      </c>
      <c r="G42" s="13"/>
    </row>
    <row r="43" spans="1:7" ht="36" customHeight="1" x14ac:dyDescent="0.3">
      <c r="A43" s="14">
        <v>573</v>
      </c>
      <c r="B43" s="14">
        <v>2</v>
      </c>
      <c r="C43" s="14" t="s">
        <v>124</v>
      </c>
      <c r="D43" s="15" t="s">
        <v>3</v>
      </c>
      <c r="E43" s="16" t="s">
        <v>25</v>
      </c>
      <c r="F43" s="17">
        <v>4275000</v>
      </c>
      <c r="G43" s="20"/>
    </row>
    <row r="44" spans="1:7" ht="36" customHeight="1" x14ac:dyDescent="0.3">
      <c r="A44" s="14">
        <v>528</v>
      </c>
      <c r="B44" s="14">
        <v>3</v>
      </c>
      <c r="C44" s="14" t="s">
        <v>124</v>
      </c>
      <c r="D44" s="15" t="s">
        <v>3</v>
      </c>
      <c r="E44" s="16" t="s">
        <v>31</v>
      </c>
      <c r="F44" s="17">
        <v>400000</v>
      </c>
      <c r="G44" s="17"/>
    </row>
    <row r="45" spans="1:7" ht="36" customHeight="1" x14ac:dyDescent="0.3">
      <c r="A45" s="14">
        <v>471</v>
      </c>
      <c r="B45" s="14">
        <v>4</v>
      </c>
      <c r="C45" s="14" t="s">
        <v>124</v>
      </c>
      <c r="D45" s="15" t="s">
        <v>3</v>
      </c>
      <c r="E45" s="16" t="s">
        <v>47</v>
      </c>
      <c r="F45" s="17">
        <v>804120</v>
      </c>
      <c r="G45" s="17"/>
    </row>
    <row r="46" spans="1:7" ht="36" customHeight="1" x14ac:dyDescent="0.3">
      <c r="A46" s="14">
        <v>435</v>
      </c>
      <c r="B46" s="14">
        <v>5</v>
      </c>
      <c r="C46" s="14" t="s">
        <v>124</v>
      </c>
      <c r="D46" s="15" t="s">
        <v>3</v>
      </c>
      <c r="E46" s="16" t="s">
        <v>91</v>
      </c>
      <c r="F46" s="17">
        <v>252000</v>
      </c>
      <c r="G46" s="17"/>
    </row>
    <row r="47" spans="1:7" ht="43.2" x14ac:dyDescent="0.3">
      <c r="A47" s="14">
        <v>416</v>
      </c>
      <c r="B47" s="14">
        <v>6</v>
      </c>
      <c r="C47" s="14" t="s">
        <v>124</v>
      </c>
      <c r="D47" s="15" t="s">
        <v>3</v>
      </c>
      <c r="E47" s="16" t="s">
        <v>21</v>
      </c>
      <c r="F47" s="17">
        <v>189000</v>
      </c>
      <c r="G47" s="20"/>
    </row>
    <row r="48" spans="1:7" ht="43.2" x14ac:dyDescent="0.3">
      <c r="A48" s="14">
        <v>373</v>
      </c>
      <c r="B48" s="14">
        <v>7</v>
      </c>
      <c r="C48" s="14" t="s">
        <v>124</v>
      </c>
      <c r="D48" s="15" t="s">
        <v>3</v>
      </c>
      <c r="E48" s="16" t="s">
        <v>32</v>
      </c>
      <c r="F48" s="17">
        <v>365000</v>
      </c>
      <c r="G48" s="17"/>
    </row>
    <row r="49" spans="1:7" ht="28.8" x14ac:dyDescent="0.3">
      <c r="A49" s="25">
        <v>354</v>
      </c>
      <c r="B49" s="25">
        <v>8</v>
      </c>
      <c r="C49" s="25" t="s">
        <v>125</v>
      </c>
      <c r="D49" s="26" t="s">
        <v>3</v>
      </c>
      <c r="E49" s="27" t="s">
        <v>106</v>
      </c>
      <c r="F49" s="28">
        <v>2000000</v>
      </c>
      <c r="G49" s="29" t="s">
        <v>120</v>
      </c>
    </row>
    <row r="50" spans="1:7" ht="28.8" x14ac:dyDescent="0.3">
      <c r="A50" s="14">
        <v>324</v>
      </c>
      <c r="B50" s="14">
        <v>9</v>
      </c>
      <c r="C50" s="14" t="s">
        <v>124</v>
      </c>
      <c r="D50" s="15" t="s">
        <v>3</v>
      </c>
      <c r="E50" s="16" t="s">
        <v>87</v>
      </c>
      <c r="F50" s="17">
        <v>168250</v>
      </c>
      <c r="G50" s="17"/>
    </row>
    <row r="51" spans="1:7" ht="28.8" x14ac:dyDescent="0.3">
      <c r="A51" s="25">
        <v>268</v>
      </c>
      <c r="B51" s="25">
        <v>10</v>
      </c>
      <c r="C51" s="25" t="s">
        <v>125</v>
      </c>
      <c r="D51" s="26" t="s">
        <v>3</v>
      </c>
      <c r="E51" s="27" t="s">
        <v>27</v>
      </c>
      <c r="F51" s="28">
        <v>870000</v>
      </c>
      <c r="G51" s="29" t="s">
        <v>119</v>
      </c>
    </row>
    <row r="52" spans="1:7" ht="24.75" customHeight="1" x14ac:dyDescent="0.3">
      <c r="A52" s="25">
        <v>227</v>
      </c>
      <c r="B52" s="25">
        <v>11</v>
      </c>
      <c r="C52" s="25" t="s">
        <v>125</v>
      </c>
      <c r="D52" s="26" t="s">
        <v>3</v>
      </c>
      <c r="E52" s="27" t="s">
        <v>1</v>
      </c>
      <c r="F52" s="28">
        <v>200000</v>
      </c>
      <c r="G52" s="29" t="s">
        <v>119</v>
      </c>
    </row>
    <row r="53" spans="1:7" ht="43.2" x14ac:dyDescent="0.3">
      <c r="A53" s="25">
        <v>225</v>
      </c>
      <c r="B53" s="25">
        <v>12</v>
      </c>
      <c r="C53" s="25" t="s">
        <v>125</v>
      </c>
      <c r="D53" s="26" t="s">
        <v>3</v>
      </c>
      <c r="E53" s="27" t="s">
        <v>30</v>
      </c>
      <c r="F53" s="28">
        <v>1000000</v>
      </c>
      <c r="G53" s="29" t="s">
        <v>119</v>
      </c>
    </row>
    <row r="54" spans="1:7" ht="28.8" x14ac:dyDescent="0.3">
      <c r="A54" s="25">
        <v>192</v>
      </c>
      <c r="B54" s="25">
        <v>13</v>
      </c>
      <c r="C54" s="25" t="s">
        <v>125</v>
      </c>
      <c r="D54" s="26" t="s">
        <v>3</v>
      </c>
      <c r="E54" s="27" t="s">
        <v>29</v>
      </c>
      <c r="F54" s="28">
        <v>185000</v>
      </c>
      <c r="G54" s="37" t="s">
        <v>120</v>
      </c>
    </row>
    <row r="55" spans="1:7" ht="48.75" customHeight="1" x14ac:dyDescent="0.3">
      <c r="A55" s="14">
        <v>191</v>
      </c>
      <c r="B55" s="14">
        <v>14</v>
      </c>
      <c r="C55" s="14" t="s">
        <v>124</v>
      </c>
      <c r="D55" s="15" t="s">
        <v>3</v>
      </c>
      <c r="E55" s="16" t="s">
        <v>128</v>
      </c>
      <c r="F55" s="35">
        <v>50000</v>
      </c>
      <c r="G55" s="36">
        <f>SUM(F55,F50,F42:F48)</f>
        <v>8503370</v>
      </c>
    </row>
    <row r="56" spans="1:7" ht="28.8" x14ac:dyDescent="0.3">
      <c r="A56" s="25">
        <v>135</v>
      </c>
      <c r="B56" s="25">
        <v>15</v>
      </c>
      <c r="C56" s="25" t="s">
        <v>125</v>
      </c>
      <c r="D56" s="26" t="s">
        <v>3</v>
      </c>
      <c r="E56" s="27" t="s">
        <v>26</v>
      </c>
      <c r="F56" s="28">
        <v>1140600</v>
      </c>
      <c r="G56" s="38" t="s">
        <v>120</v>
      </c>
    </row>
    <row r="57" spans="1:7" ht="28.8" x14ac:dyDescent="0.3">
      <c r="A57" s="25">
        <v>131</v>
      </c>
      <c r="B57" s="25">
        <v>16</v>
      </c>
      <c r="C57" s="25" t="s">
        <v>125</v>
      </c>
      <c r="D57" s="26" t="s">
        <v>3</v>
      </c>
      <c r="E57" s="27" t="s">
        <v>23</v>
      </c>
      <c r="F57" s="28">
        <v>175000</v>
      </c>
      <c r="G57" s="29" t="s">
        <v>120</v>
      </c>
    </row>
    <row r="58" spans="1:7" ht="28.8" x14ac:dyDescent="0.3">
      <c r="A58" s="25">
        <v>118</v>
      </c>
      <c r="B58" s="25">
        <v>17</v>
      </c>
      <c r="C58" s="25" t="s">
        <v>125</v>
      </c>
      <c r="D58" s="26" t="s">
        <v>3</v>
      </c>
      <c r="E58" s="27" t="s">
        <v>82</v>
      </c>
      <c r="F58" s="28">
        <v>83000</v>
      </c>
      <c r="G58" s="29" t="s">
        <v>120</v>
      </c>
    </row>
    <row r="59" spans="1:7" ht="28.8" x14ac:dyDescent="0.3">
      <c r="A59" s="25">
        <v>100</v>
      </c>
      <c r="B59" s="25">
        <v>18</v>
      </c>
      <c r="C59" s="25" t="s">
        <v>125</v>
      </c>
      <c r="D59" s="26" t="s">
        <v>3</v>
      </c>
      <c r="E59" s="27" t="s">
        <v>110</v>
      </c>
      <c r="F59" s="28">
        <v>1000000</v>
      </c>
      <c r="G59" s="29" t="s">
        <v>120</v>
      </c>
    </row>
    <row r="60" spans="1:7" x14ac:dyDescent="0.3">
      <c r="A60" s="25">
        <v>95</v>
      </c>
      <c r="B60" s="25">
        <v>19</v>
      </c>
      <c r="C60" s="25" t="s">
        <v>125</v>
      </c>
      <c r="D60" s="26" t="s">
        <v>3</v>
      </c>
      <c r="E60" s="27" t="s">
        <v>72</v>
      </c>
      <c r="F60" s="28">
        <v>320000</v>
      </c>
      <c r="G60" s="29" t="s">
        <v>120</v>
      </c>
    </row>
    <row r="61" spans="1:7" ht="28.8" x14ac:dyDescent="0.3">
      <c r="A61" s="25">
        <v>91</v>
      </c>
      <c r="B61" s="25">
        <v>20</v>
      </c>
      <c r="C61" s="25" t="s">
        <v>125</v>
      </c>
      <c r="D61" s="26" t="s">
        <v>3</v>
      </c>
      <c r="E61" s="27" t="s">
        <v>22</v>
      </c>
      <c r="F61" s="28">
        <v>135000</v>
      </c>
      <c r="G61" s="29" t="s">
        <v>120</v>
      </c>
    </row>
    <row r="62" spans="1:7" ht="28.8" x14ac:dyDescent="0.3">
      <c r="A62" s="25">
        <v>70</v>
      </c>
      <c r="B62" s="25">
        <v>21</v>
      </c>
      <c r="C62" s="25" t="s">
        <v>125</v>
      </c>
      <c r="D62" s="26" t="s">
        <v>3</v>
      </c>
      <c r="E62" s="27" t="s">
        <v>70</v>
      </c>
      <c r="F62" s="28">
        <v>320000</v>
      </c>
      <c r="G62" s="29" t="s">
        <v>120</v>
      </c>
    </row>
    <row r="63" spans="1:7" ht="28.8" x14ac:dyDescent="0.3">
      <c r="A63" s="25">
        <v>63</v>
      </c>
      <c r="B63" s="25">
        <v>22</v>
      </c>
      <c r="C63" s="25" t="s">
        <v>125</v>
      </c>
      <c r="D63" s="26" t="s">
        <v>3</v>
      </c>
      <c r="E63" s="27" t="s">
        <v>108</v>
      </c>
      <c r="F63" s="28">
        <v>115000</v>
      </c>
      <c r="G63" s="29" t="s">
        <v>120</v>
      </c>
    </row>
    <row r="64" spans="1:7" ht="28.8" x14ac:dyDescent="0.3">
      <c r="A64" s="25">
        <v>43</v>
      </c>
      <c r="B64" s="25">
        <v>23</v>
      </c>
      <c r="C64" s="25" t="s">
        <v>125</v>
      </c>
      <c r="D64" s="26" t="s">
        <v>3</v>
      </c>
      <c r="E64" s="27" t="s">
        <v>109</v>
      </c>
      <c r="F64" s="28">
        <v>1500000</v>
      </c>
      <c r="G64" s="29" t="s">
        <v>120</v>
      </c>
    </row>
    <row r="65" spans="1:7" ht="29.4" thickBot="1" x14ac:dyDescent="0.35">
      <c r="A65" s="30">
        <v>41</v>
      </c>
      <c r="B65" s="30">
        <v>24</v>
      </c>
      <c r="C65" s="30" t="s">
        <v>125</v>
      </c>
      <c r="D65" s="31" t="s">
        <v>3</v>
      </c>
      <c r="E65" s="32" t="s">
        <v>33</v>
      </c>
      <c r="F65" s="33">
        <v>435000</v>
      </c>
      <c r="G65" s="34" t="s">
        <v>120</v>
      </c>
    </row>
    <row r="66" spans="1:7" ht="28.8" x14ac:dyDescent="0.3">
      <c r="A66" s="9">
        <v>800</v>
      </c>
      <c r="B66" s="9">
        <v>1</v>
      </c>
      <c r="C66" s="9" t="s">
        <v>124</v>
      </c>
      <c r="D66" s="11" t="s">
        <v>9</v>
      </c>
      <c r="E66" s="12" t="s">
        <v>77</v>
      </c>
      <c r="F66" s="13">
        <v>937000</v>
      </c>
      <c r="G66" s="13"/>
    </row>
    <row r="67" spans="1:7" ht="28.8" x14ac:dyDescent="0.3">
      <c r="A67" s="14">
        <v>788</v>
      </c>
      <c r="B67" s="14">
        <v>2</v>
      </c>
      <c r="C67" s="14" t="s">
        <v>124</v>
      </c>
      <c r="D67" s="15" t="s">
        <v>9</v>
      </c>
      <c r="E67" s="16" t="s">
        <v>7</v>
      </c>
      <c r="F67" s="17">
        <v>2000000</v>
      </c>
      <c r="G67" s="17"/>
    </row>
    <row r="68" spans="1:7" ht="28.8" x14ac:dyDescent="0.3">
      <c r="A68" s="14">
        <v>597</v>
      </c>
      <c r="B68" s="14">
        <v>3</v>
      </c>
      <c r="C68" s="14" t="s">
        <v>124</v>
      </c>
      <c r="D68" s="15" t="s">
        <v>9</v>
      </c>
      <c r="E68" s="16" t="s">
        <v>8</v>
      </c>
      <c r="F68" s="17">
        <v>620142</v>
      </c>
      <c r="G68" s="17"/>
    </row>
    <row r="69" spans="1:7" ht="28.8" x14ac:dyDescent="0.3">
      <c r="A69" s="14">
        <v>489</v>
      </c>
      <c r="B69" s="14">
        <v>4</v>
      </c>
      <c r="C69" s="14" t="s">
        <v>124</v>
      </c>
      <c r="D69" s="15" t="s">
        <v>9</v>
      </c>
      <c r="E69" s="16" t="s">
        <v>48</v>
      </c>
      <c r="F69" s="17">
        <v>1000000</v>
      </c>
      <c r="G69" s="17"/>
    </row>
    <row r="70" spans="1:7" ht="28.8" x14ac:dyDescent="0.3">
      <c r="A70" s="14">
        <v>238</v>
      </c>
      <c r="B70" s="14">
        <v>5</v>
      </c>
      <c r="C70" s="14" t="s">
        <v>124</v>
      </c>
      <c r="D70" s="15" t="s">
        <v>9</v>
      </c>
      <c r="E70" s="16" t="s">
        <v>16</v>
      </c>
      <c r="F70" s="17">
        <v>50000</v>
      </c>
      <c r="G70" s="17"/>
    </row>
    <row r="71" spans="1:7" ht="24.75" customHeight="1" x14ac:dyDescent="0.3">
      <c r="A71" s="14">
        <v>217</v>
      </c>
      <c r="B71" s="14">
        <v>6</v>
      </c>
      <c r="C71" s="14" t="s">
        <v>124</v>
      </c>
      <c r="D71" s="15" t="s">
        <v>9</v>
      </c>
      <c r="E71" s="16" t="s">
        <v>50</v>
      </c>
      <c r="F71" s="17">
        <v>245300</v>
      </c>
      <c r="G71" s="17"/>
    </row>
    <row r="72" spans="1:7" ht="28.8" x14ac:dyDescent="0.3">
      <c r="A72" s="14">
        <v>209</v>
      </c>
      <c r="B72" s="14">
        <v>7</v>
      </c>
      <c r="C72" s="14" t="s">
        <v>124</v>
      </c>
      <c r="D72" s="15" t="s">
        <v>9</v>
      </c>
      <c r="E72" s="16" t="s">
        <v>100</v>
      </c>
      <c r="F72" s="17">
        <v>935000</v>
      </c>
      <c r="G72" s="17"/>
    </row>
    <row r="73" spans="1:7" ht="28.8" x14ac:dyDescent="0.3">
      <c r="A73" s="14">
        <v>98</v>
      </c>
      <c r="B73" s="14">
        <v>8</v>
      </c>
      <c r="C73" s="14" t="s">
        <v>124</v>
      </c>
      <c r="D73" s="15" t="s">
        <v>9</v>
      </c>
      <c r="E73" s="16" t="s">
        <v>73</v>
      </c>
      <c r="F73" s="17">
        <v>180000</v>
      </c>
      <c r="G73" s="36">
        <f>SUM(F66:F73)</f>
        <v>5967442</v>
      </c>
    </row>
    <row r="74" spans="1:7" ht="29.4" thickBot="1" x14ac:dyDescent="0.35">
      <c r="A74" s="30">
        <v>97</v>
      </c>
      <c r="B74" s="30">
        <v>9</v>
      </c>
      <c r="C74" s="30" t="s">
        <v>125</v>
      </c>
      <c r="D74" s="31" t="s">
        <v>9</v>
      </c>
      <c r="E74" s="32" t="s">
        <v>71</v>
      </c>
      <c r="F74" s="33">
        <v>180000</v>
      </c>
      <c r="G74" s="34" t="s">
        <v>120</v>
      </c>
    </row>
    <row r="75" spans="1:7" ht="35.25" customHeight="1" x14ac:dyDescent="0.3">
      <c r="A75" s="39">
        <v>805</v>
      </c>
      <c r="B75" s="40">
        <v>1</v>
      </c>
      <c r="C75" s="40" t="s">
        <v>124</v>
      </c>
      <c r="D75" s="11" t="s">
        <v>145</v>
      </c>
      <c r="E75" s="12" t="s">
        <v>146</v>
      </c>
      <c r="F75" s="13">
        <v>2000000</v>
      </c>
      <c r="G75" s="41"/>
    </row>
    <row r="76" spans="1:7" ht="28.8" x14ac:dyDescent="0.3">
      <c r="A76" s="42">
        <v>743</v>
      </c>
      <c r="B76" s="43">
        <v>2</v>
      </c>
      <c r="C76" s="43" t="s">
        <v>125</v>
      </c>
      <c r="D76" s="44" t="s">
        <v>145</v>
      </c>
      <c r="E76" s="45" t="s">
        <v>147</v>
      </c>
      <c r="F76" s="46">
        <v>5500000</v>
      </c>
      <c r="G76" s="47" t="s">
        <v>120</v>
      </c>
    </row>
    <row r="77" spans="1:7" ht="28.8" x14ac:dyDescent="0.3">
      <c r="A77" s="48">
        <v>555</v>
      </c>
      <c r="B77" s="14">
        <v>3</v>
      </c>
      <c r="C77" s="14" t="s">
        <v>124</v>
      </c>
      <c r="D77" s="15" t="s">
        <v>145</v>
      </c>
      <c r="E77" s="16" t="s">
        <v>148</v>
      </c>
      <c r="F77" s="17">
        <v>1700000</v>
      </c>
      <c r="G77" s="49"/>
    </row>
    <row r="78" spans="1:7" ht="43.2" x14ac:dyDescent="0.3">
      <c r="A78" s="48">
        <v>369</v>
      </c>
      <c r="B78" s="14">
        <v>4</v>
      </c>
      <c r="C78" s="14" t="s">
        <v>124</v>
      </c>
      <c r="D78" s="15" t="s">
        <v>145</v>
      </c>
      <c r="E78" s="16" t="s">
        <v>149</v>
      </c>
      <c r="F78" s="17">
        <v>98246</v>
      </c>
      <c r="G78" s="49"/>
    </row>
    <row r="79" spans="1:7" ht="28.8" x14ac:dyDescent="0.3">
      <c r="A79" s="48">
        <v>267</v>
      </c>
      <c r="B79" s="14">
        <v>5</v>
      </c>
      <c r="C79" s="14" t="s">
        <v>124</v>
      </c>
      <c r="D79" s="15" t="s">
        <v>145</v>
      </c>
      <c r="E79" s="16" t="s">
        <v>150</v>
      </c>
      <c r="F79" s="17">
        <v>197250</v>
      </c>
      <c r="G79" s="50"/>
    </row>
    <row r="80" spans="1:7" ht="28.8" x14ac:dyDescent="0.3">
      <c r="A80" s="48">
        <v>254</v>
      </c>
      <c r="B80" s="14">
        <v>6</v>
      </c>
      <c r="C80" s="14" t="s">
        <v>124</v>
      </c>
      <c r="D80" s="15" t="s">
        <v>145</v>
      </c>
      <c r="E80" s="16" t="s">
        <v>151</v>
      </c>
      <c r="F80" s="17">
        <v>801659</v>
      </c>
      <c r="G80" s="50"/>
    </row>
    <row r="81" spans="1:7" ht="28.8" x14ac:dyDescent="0.3">
      <c r="A81" s="48">
        <v>249</v>
      </c>
      <c r="B81" s="14">
        <v>7</v>
      </c>
      <c r="C81" s="14" t="s">
        <v>124</v>
      </c>
      <c r="D81" s="15" t="s">
        <v>145</v>
      </c>
      <c r="E81" s="16" t="s">
        <v>152</v>
      </c>
      <c r="F81" s="17">
        <v>500000</v>
      </c>
      <c r="G81" s="49"/>
    </row>
    <row r="82" spans="1:7" ht="28.8" x14ac:dyDescent="0.3">
      <c r="A82" s="51">
        <v>185</v>
      </c>
      <c r="B82" s="25">
        <v>8</v>
      </c>
      <c r="C82" s="25" t="s">
        <v>125</v>
      </c>
      <c r="D82" s="26" t="s">
        <v>145</v>
      </c>
      <c r="E82" s="27" t="s">
        <v>153</v>
      </c>
      <c r="F82" s="28">
        <v>1000000</v>
      </c>
      <c r="G82" s="47" t="s">
        <v>120</v>
      </c>
    </row>
    <row r="83" spans="1:7" ht="28.8" x14ac:dyDescent="0.3">
      <c r="A83" s="48">
        <v>111</v>
      </c>
      <c r="B83" s="14">
        <v>9</v>
      </c>
      <c r="C83" s="14" t="s">
        <v>124</v>
      </c>
      <c r="D83" s="15" t="s">
        <v>145</v>
      </c>
      <c r="E83" s="16" t="s">
        <v>154</v>
      </c>
      <c r="F83" s="17">
        <v>230000</v>
      </c>
      <c r="G83" s="50">
        <f>SUM(F83,F77:F81,F75)</f>
        <v>5527155</v>
      </c>
    </row>
    <row r="84" spans="1:7" ht="33.75" customHeight="1" thickBot="1" x14ac:dyDescent="0.35">
      <c r="A84" s="52">
        <v>12</v>
      </c>
      <c r="B84" s="30">
        <v>10</v>
      </c>
      <c r="C84" s="30" t="s">
        <v>125</v>
      </c>
      <c r="D84" s="31" t="s">
        <v>145</v>
      </c>
      <c r="E84" s="32" t="s">
        <v>155</v>
      </c>
      <c r="F84" s="33">
        <v>1700000</v>
      </c>
      <c r="G84" s="53" t="s">
        <v>120</v>
      </c>
    </row>
    <row r="85" spans="1:7" ht="28.8" x14ac:dyDescent="0.3">
      <c r="A85" s="9">
        <v>1717</v>
      </c>
      <c r="B85" s="9">
        <v>1</v>
      </c>
      <c r="C85" s="9" t="s">
        <v>124</v>
      </c>
      <c r="D85" s="11" t="s">
        <v>129</v>
      </c>
      <c r="E85" s="12" t="s">
        <v>130</v>
      </c>
      <c r="F85" s="13">
        <v>1600000</v>
      </c>
      <c r="G85" s="13"/>
    </row>
    <row r="86" spans="1:7" x14ac:dyDescent="0.3">
      <c r="A86" s="54">
        <v>1360</v>
      </c>
      <c r="B86" s="54">
        <v>2</v>
      </c>
      <c r="C86" s="54" t="s">
        <v>124</v>
      </c>
      <c r="D86" s="15" t="s">
        <v>129</v>
      </c>
      <c r="E86" s="16" t="s">
        <v>131</v>
      </c>
      <c r="F86" s="17">
        <v>3000000</v>
      </c>
      <c r="G86" s="17"/>
    </row>
    <row r="87" spans="1:7" ht="28.8" x14ac:dyDescent="0.3">
      <c r="A87" s="14">
        <v>1193</v>
      </c>
      <c r="B87" s="14">
        <v>3</v>
      </c>
      <c r="C87" s="14" t="s">
        <v>124</v>
      </c>
      <c r="D87" s="15" t="s">
        <v>129</v>
      </c>
      <c r="E87" s="16" t="s">
        <v>132</v>
      </c>
      <c r="F87" s="17">
        <v>1600000</v>
      </c>
      <c r="G87" s="17"/>
    </row>
    <row r="88" spans="1:7" ht="28.8" x14ac:dyDescent="0.3">
      <c r="A88" s="14">
        <v>923</v>
      </c>
      <c r="B88" s="14">
        <v>4</v>
      </c>
      <c r="C88" s="14" t="s">
        <v>124</v>
      </c>
      <c r="D88" s="15" t="s">
        <v>129</v>
      </c>
      <c r="E88" s="16" t="s">
        <v>133</v>
      </c>
      <c r="F88" s="17">
        <v>725000</v>
      </c>
      <c r="G88" s="17"/>
    </row>
    <row r="89" spans="1:7" ht="28.8" x14ac:dyDescent="0.3">
      <c r="A89" s="14">
        <v>847</v>
      </c>
      <c r="B89" s="14">
        <v>5</v>
      </c>
      <c r="C89" s="14" t="s">
        <v>124</v>
      </c>
      <c r="D89" s="15" t="s">
        <v>129</v>
      </c>
      <c r="E89" s="16" t="s">
        <v>134</v>
      </c>
      <c r="F89" s="17">
        <v>970000</v>
      </c>
      <c r="G89" s="17"/>
    </row>
    <row r="90" spans="1:7" ht="28.8" x14ac:dyDescent="0.3">
      <c r="A90" s="25">
        <v>785</v>
      </c>
      <c r="B90" s="25">
        <v>6</v>
      </c>
      <c r="C90" s="25" t="s">
        <v>125</v>
      </c>
      <c r="D90" s="26" t="s">
        <v>129</v>
      </c>
      <c r="E90" s="27" t="s">
        <v>135</v>
      </c>
      <c r="F90" s="28">
        <v>2000000</v>
      </c>
      <c r="G90" s="29" t="s">
        <v>120</v>
      </c>
    </row>
    <row r="91" spans="1:7" ht="28.8" x14ac:dyDescent="0.3">
      <c r="A91" s="14">
        <v>757</v>
      </c>
      <c r="B91" s="14">
        <v>7</v>
      </c>
      <c r="C91" s="14" t="s">
        <v>124</v>
      </c>
      <c r="D91" s="15" t="s">
        <v>129</v>
      </c>
      <c r="E91" s="16" t="s">
        <v>8</v>
      </c>
      <c r="F91" s="17">
        <v>208354</v>
      </c>
      <c r="G91" s="20"/>
    </row>
    <row r="92" spans="1:7" ht="35.25" customHeight="1" x14ac:dyDescent="0.3">
      <c r="A92" s="14">
        <v>494</v>
      </c>
      <c r="B92" s="14">
        <v>8</v>
      </c>
      <c r="C92" s="14" t="s">
        <v>124</v>
      </c>
      <c r="D92" s="15" t="s">
        <v>129</v>
      </c>
      <c r="E92" s="16" t="s">
        <v>136</v>
      </c>
      <c r="F92" s="17">
        <v>272500</v>
      </c>
      <c r="G92" s="55">
        <f>SUM(F91:F92,F85:F89)</f>
        <v>8375854</v>
      </c>
    </row>
    <row r="93" spans="1:7" ht="43.2" x14ac:dyDescent="0.3">
      <c r="A93" s="25">
        <v>344</v>
      </c>
      <c r="B93" s="25">
        <v>9</v>
      </c>
      <c r="C93" s="25" t="s">
        <v>125</v>
      </c>
      <c r="D93" s="26" t="s">
        <v>129</v>
      </c>
      <c r="E93" s="27" t="s">
        <v>137</v>
      </c>
      <c r="F93" s="28">
        <v>477000</v>
      </c>
      <c r="G93" s="29" t="s">
        <v>119</v>
      </c>
    </row>
    <row r="94" spans="1:7" ht="28.8" x14ac:dyDescent="0.3">
      <c r="A94" s="25">
        <v>298</v>
      </c>
      <c r="B94" s="25">
        <v>10</v>
      </c>
      <c r="C94" s="25" t="s">
        <v>125</v>
      </c>
      <c r="D94" s="26" t="s">
        <v>129</v>
      </c>
      <c r="E94" s="27" t="s">
        <v>138</v>
      </c>
      <c r="F94" s="28">
        <v>1460000</v>
      </c>
      <c r="G94" s="29" t="s">
        <v>119</v>
      </c>
    </row>
    <row r="95" spans="1:7" ht="28.8" x14ac:dyDescent="0.3">
      <c r="A95" s="25">
        <v>245</v>
      </c>
      <c r="B95" s="25">
        <v>11</v>
      </c>
      <c r="C95" s="25" t="s">
        <v>125</v>
      </c>
      <c r="D95" s="26" t="s">
        <v>129</v>
      </c>
      <c r="E95" s="27" t="s">
        <v>111</v>
      </c>
      <c r="F95" s="28">
        <v>280000</v>
      </c>
      <c r="G95" s="29" t="s">
        <v>120</v>
      </c>
    </row>
    <row r="96" spans="1:7" ht="28.8" x14ac:dyDescent="0.3">
      <c r="A96" s="25">
        <v>202</v>
      </c>
      <c r="B96" s="25">
        <v>12</v>
      </c>
      <c r="C96" s="25" t="s">
        <v>125</v>
      </c>
      <c r="D96" s="26" t="s">
        <v>129</v>
      </c>
      <c r="E96" s="27" t="s">
        <v>139</v>
      </c>
      <c r="F96" s="28">
        <v>630000</v>
      </c>
      <c r="G96" s="29" t="s">
        <v>120</v>
      </c>
    </row>
    <row r="97" spans="1:7" ht="27.75" customHeight="1" x14ac:dyDescent="0.3">
      <c r="A97" s="25">
        <v>202</v>
      </c>
      <c r="B97" s="25">
        <v>13</v>
      </c>
      <c r="C97" s="25" t="s">
        <v>125</v>
      </c>
      <c r="D97" s="26" t="s">
        <v>129</v>
      </c>
      <c r="E97" s="27" t="s">
        <v>140</v>
      </c>
      <c r="F97" s="28">
        <v>280000</v>
      </c>
      <c r="G97" s="29" t="s">
        <v>120</v>
      </c>
    </row>
    <row r="98" spans="1:7" ht="28.8" x14ac:dyDescent="0.3">
      <c r="A98" s="25">
        <v>200</v>
      </c>
      <c r="B98" s="25">
        <v>14</v>
      </c>
      <c r="C98" s="25" t="s">
        <v>125</v>
      </c>
      <c r="D98" s="26" t="s">
        <v>129</v>
      </c>
      <c r="E98" s="27" t="s">
        <v>141</v>
      </c>
      <c r="F98" s="28">
        <v>180000</v>
      </c>
      <c r="G98" s="29" t="s">
        <v>120</v>
      </c>
    </row>
    <row r="99" spans="1:7" ht="28.8" x14ac:dyDescent="0.3">
      <c r="A99" s="25">
        <v>192</v>
      </c>
      <c r="B99" s="25">
        <v>15</v>
      </c>
      <c r="C99" s="25" t="s">
        <v>125</v>
      </c>
      <c r="D99" s="26" t="s">
        <v>129</v>
      </c>
      <c r="E99" s="27" t="s">
        <v>142</v>
      </c>
      <c r="F99" s="28">
        <v>300000</v>
      </c>
      <c r="G99" s="29" t="s">
        <v>120</v>
      </c>
    </row>
    <row r="100" spans="1:7" ht="28.8" x14ac:dyDescent="0.3">
      <c r="A100" s="25">
        <v>161</v>
      </c>
      <c r="B100" s="25">
        <v>16</v>
      </c>
      <c r="C100" s="25" t="s">
        <v>125</v>
      </c>
      <c r="D100" s="26" t="s">
        <v>129</v>
      </c>
      <c r="E100" s="27" t="s">
        <v>143</v>
      </c>
      <c r="F100" s="28">
        <v>748824</v>
      </c>
      <c r="G100" s="29" t="s">
        <v>120</v>
      </c>
    </row>
    <row r="101" spans="1:7" ht="27" customHeight="1" thickBot="1" x14ac:dyDescent="0.35">
      <c r="A101" s="30">
        <v>97</v>
      </c>
      <c r="B101" s="30">
        <v>17</v>
      </c>
      <c r="C101" s="25" t="s">
        <v>125</v>
      </c>
      <c r="D101" s="31" t="s">
        <v>129</v>
      </c>
      <c r="E101" s="32" t="s">
        <v>144</v>
      </c>
      <c r="F101" s="33">
        <v>6000000</v>
      </c>
      <c r="G101" s="29" t="s">
        <v>120</v>
      </c>
    </row>
    <row r="102" spans="1:7" ht="28.8" x14ac:dyDescent="0.3">
      <c r="A102" s="9">
        <v>542</v>
      </c>
      <c r="B102" s="9">
        <v>1</v>
      </c>
      <c r="C102" s="9" t="s">
        <v>124</v>
      </c>
      <c r="D102" s="11" t="s">
        <v>12</v>
      </c>
      <c r="E102" s="12" t="s">
        <v>103</v>
      </c>
      <c r="F102" s="13">
        <v>608558</v>
      </c>
      <c r="G102" s="13"/>
    </row>
    <row r="103" spans="1:7" ht="28.8" x14ac:dyDescent="0.3">
      <c r="A103" s="14">
        <v>339</v>
      </c>
      <c r="B103" s="14">
        <v>2</v>
      </c>
      <c r="C103" s="14" t="s">
        <v>124</v>
      </c>
      <c r="D103" s="15" t="s">
        <v>12</v>
      </c>
      <c r="E103" s="16" t="s">
        <v>11</v>
      </c>
      <c r="F103" s="17">
        <v>2000000</v>
      </c>
      <c r="G103" s="17"/>
    </row>
    <row r="104" spans="1:7" ht="28.8" x14ac:dyDescent="0.3">
      <c r="A104" s="14">
        <v>187</v>
      </c>
      <c r="B104" s="14">
        <v>3</v>
      </c>
      <c r="C104" s="14" t="s">
        <v>124</v>
      </c>
      <c r="D104" s="15" t="s">
        <v>12</v>
      </c>
      <c r="E104" s="16" t="s">
        <v>47</v>
      </c>
      <c r="F104" s="17">
        <v>208354</v>
      </c>
      <c r="G104" s="17"/>
    </row>
    <row r="105" spans="1:7" ht="28.8" x14ac:dyDescent="0.3">
      <c r="A105" s="14">
        <v>182</v>
      </c>
      <c r="B105" s="14">
        <v>4</v>
      </c>
      <c r="C105" s="14" t="s">
        <v>124</v>
      </c>
      <c r="D105" s="15" t="s">
        <v>12</v>
      </c>
      <c r="E105" s="16" t="s">
        <v>75</v>
      </c>
      <c r="F105" s="17">
        <v>1400000</v>
      </c>
      <c r="G105" s="17"/>
    </row>
    <row r="106" spans="1:7" ht="28.8" x14ac:dyDescent="0.3">
      <c r="A106" s="14">
        <v>114</v>
      </c>
      <c r="B106" s="14">
        <v>5</v>
      </c>
      <c r="C106" s="14" t="s">
        <v>124</v>
      </c>
      <c r="D106" s="15" t="s">
        <v>12</v>
      </c>
      <c r="E106" s="16" t="s">
        <v>92</v>
      </c>
      <c r="F106" s="17">
        <v>1750000</v>
      </c>
      <c r="G106" s="18">
        <f>SUM(F102:F106)</f>
        <v>5966912</v>
      </c>
    </row>
    <row r="107" spans="1:7" ht="32.25" customHeight="1" x14ac:dyDescent="0.3">
      <c r="A107" s="25">
        <v>63</v>
      </c>
      <c r="B107" s="25">
        <v>7</v>
      </c>
      <c r="C107" s="25" t="s">
        <v>125</v>
      </c>
      <c r="D107" s="26" t="s">
        <v>12</v>
      </c>
      <c r="E107" s="27" t="s">
        <v>93</v>
      </c>
      <c r="F107" s="28">
        <v>100000</v>
      </c>
      <c r="G107" s="29" t="s">
        <v>120</v>
      </c>
    </row>
    <row r="108" spans="1:7" ht="36.75" customHeight="1" thickBot="1" x14ac:dyDescent="0.35">
      <c r="A108" s="30">
        <v>60</v>
      </c>
      <c r="B108" s="30">
        <v>6</v>
      </c>
      <c r="C108" s="30" t="s">
        <v>125</v>
      </c>
      <c r="D108" s="31" t="s">
        <v>12</v>
      </c>
      <c r="E108" s="32" t="s">
        <v>46</v>
      </c>
      <c r="F108" s="33">
        <v>160000</v>
      </c>
      <c r="G108" s="34" t="s">
        <v>120</v>
      </c>
    </row>
    <row r="109" spans="1:7" ht="28.8" x14ac:dyDescent="0.3">
      <c r="A109" s="9">
        <v>2832</v>
      </c>
      <c r="B109" s="9">
        <v>1</v>
      </c>
      <c r="C109" s="9" t="s">
        <v>124</v>
      </c>
      <c r="D109" s="11" t="s">
        <v>19</v>
      </c>
      <c r="E109" s="12" t="s">
        <v>66</v>
      </c>
      <c r="F109" s="13">
        <v>1500000</v>
      </c>
      <c r="G109" s="13"/>
    </row>
    <row r="110" spans="1:7" ht="28.8" x14ac:dyDescent="0.3">
      <c r="A110" s="14">
        <v>1468</v>
      </c>
      <c r="B110" s="14">
        <v>2</v>
      </c>
      <c r="C110" s="14" t="s">
        <v>124</v>
      </c>
      <c r="D110" s="15" t="s">
        <v>19</v>
      </c>
      <c r="E110" s="16" t="s">
        <v>49</v>
      </c>
      <c r="F110" s="17">
        <v>2000000</v>
      </c>
      <c r="G110" s="17"/>
    </row>
    <row r="111" spans="1:7" ht="43.2" x14ac:dyDescent="0.3">
      <c r="A111" s="14">
        <v>1222</v>
      </c>
      <c r="B111" s="14">
        <v>3</v>
      </c>
      <c r="C111" s="14" t="s">
        <v>124</v>
      </c>
      <c r="D111" s="15" t="s">
        <v>19</v>
      </c>
      <c r="E111" s="16" t="s">
        <v>28</v>
      </c>
      <c r="F111" s="17">
        <v>660000</v>
      </c>
      <c r="G111" s="17"/>
    </row>
    <row r="112" spans="1:7" ht="28.8" x14ac:dyDescent="0.3">
      <c r="A112" s="14">
        <v>1130</v>
      </c>
      <c r="B112" s="14">
        <v>4</v>
      </c>
      <c r="C112" s="14" t="s">
        <v>124</v>
      </c>
      <c r="D112" s="15" t="s">
        <v>19</v>
      </c>
      <c r="E112" s="16" t="s">
        <v>65</v>
      </c>
      <c r="F112" s="17">
        <v>195000</v>
      </c>
      <c r="G112" s="17"/>
    </row>
    <row r="113" spans="1:7" ht="28.8" x14ac:dyDescent="0.3">
      <c r="A113" s="14">
        <v>1033</v>
      </c>
      <c r="B113" s="14">
        <v>5</v>
      </c>
      <c r="C113" s="14" t="s">
        <v>124</v>
      </c>
      <c r="D113" s="15" t="s">
        <v>19</v>
      </c>
      <c r="E113" s="16" t="s">
        <v>78</v>
      </c>
      <c r="F113" s="17">
        <v>385000</v>
      </c>
      <c r="G113" s="17"/>
    </row>
    <row r="114" spans="1:7" ht="22.5" customHeight="1" x14ac:dyDescent="0.3">
      <c r="A114" s="14">
        <v>940</v>
      </c>
      <c r="B114" s="14">
        <v>6</v>
      </c>
      <c r="C114" s="14" t="s">
        <v>124</v>
      </c>
      <c r="D114" s="15" t="s">
        <v>19</v>
      </c>
      <c r="E114" s="16" t="s">
        <v>95</v>
      </c>
      <c r="F114" s="17">
        <v>1955000</v>
      </c>
      <c r="G114" s="17"/>
    </row>
    <row r="115" spans="1:7" ht="28.8" x14ac:dyDescent="0.3">
      <c r="A115" s="14">
        <v>915</v>
      </c>
      <c r="B115" s="14">
        <v>7</v>
      </c>
      <c r="C115" s="14" t="s">
        <v>124</v>
      </c>
      <c r="D115" s="15" t="s">
        <v>19</v>
      </c>
      <c r="E115" s="16" t="s">
        <v>63</v>
      </c>
      <c r="F115" s="17">
        <v>876000</v>
      </c>
      <c r="G115" s="17"/>
    </row>
    <row r="116" spans="1:7" ht="28.8" x14ac:dyDescent="0.3">
      <c r="A116" s="25">
        <v>859</v>
      </c>
      <c r="B116" s="25">
        <v>8</v>
      </c>
      <c r="C116" s="25" t="s">
        <v>125</v>
      </c>
      <c r="D116" s="26" t="s">
        <v>19</v>
      </c>
      <c r="E116" s="27" t="s">
        <v>61</v>
      </c>
      <c r="F116" s="28">
        <v>3150000</v>
      </c>
      <c r="G116" s="29" t="s">
        <v>120</v>
      </c>
    </row>
    <row r="117" spans="1:7" ht="28.8" x14ac:dyDescent="0.3">
      <c r="A117" s="25">
        <v>855</v>
      </c>
      <c r="B117" s="25">
        <v>9</v>
      </c>
      <c r="C117" s="25" t="s">
        <v>125</v>
      </c>
      <c r="D117" s="26" t="s">
        <v>19</v>
      </c>
      <c r="E117" s="27" t="s">
        <v>67</v>
      </c>
      <c r="F117" s="28">
        <v>5800000</v>
      </c>
      <c r="G117" s="29" t="s">
        <v>120</v>
      </c>
    </row>
    <row r="118" spans="1:7" ht="28.8" x14ac:dyDescent="0.3">
      <c r="A118" s="25">
        <v>811</v>
      </c>
      <c r="B118" s="25">
        <v>10</v>
      </c>
      <c r="C118" s="25" t="s">
        <v>125</v>
      </c>
      <c r="D118" s="26" t="s">
        <v>19</v>
      </c>
      <c r="E118" s="27" t="s">
        <v>86</v>
      </c>
      <c r="F118" s="28">
        <v>2000000</v>
      </c>
      <c r="G118" s="29" t="s">
        <v>120</v>
      </c>
    </row>
    <row r="119" spans="1:7" ht="39" customHeight="1" x14ac:dyDescent="0.3">
      <c r="A119" s="14">
        <v>742</v>
      </c>
      <c r="B119" s="14">
        <v>11</v>
      </c>
      <c r="C119" s="14" t="s">
        <v>124</v>
      </c>
      <c r="D119" s="15" t="s">
        <v>19</v>
      </c>
      <c r="E119" s="16" t="s">
        <v>34</v>
      </c>
      <c r="F119" s="17">
        <v>530000</v>
      </c>
      <c r="G119" s="17"/>
    </row>
    <row r="120" spans="1:7" ht="48" customHeight="1" x14ac:dyDescent="0.3">
      <c r="A120" s="25">
        <v>571</v>
      </c>
      <c r="B120" s="25">
        <v>12</v>
      </c>
      <c r="C120" s="25" t="s">
        <v>125</v>
      </c>
      <c r="D120" s="26" t="s">
        <v>19</v>
      </c>
      <c r="E120" s="27" t="s">
        <v>45</v>
      </c>
      <c r="F120" s="28">
        <v>429600</v>
      </c>
      <c r="G120" s="29" t="s">
        <v>120</v>
      </c>
    </row>
    <row r="121" spans="1:7" ht="38.25" customHeight="1" x14ac:dyDescent="0.3">
      <c r="A121" s="25">
        <v>535</v>
      </c>
      <c r="B121" s="25">
        <v>13</v>
      </c>
      <c r="C121" s="25" t="s">
        <v>125</v>
      </c>
      <c r="D121" s="26" t="s">
        <v>19</v>
      </c>
      <c r="E121" s="27" t="s">
        <v>40</v>
      </c>
      <c r="F121" s="28">
        <v>362000</v>
      </c>
      <c r="G121" s="29" t="s">
        <v>119</v>
      </c>
    </row>
    <row r="122" spans="1:7" ht="48" customHeight="1" x14ac:dyDescent="0.3">
      <c r="A122" s="14">
        <v>495</v>
      </c>
      <c r="B122" s="14">
        <v>14</v>
      </c>
      <c r="C122" s="14" t="s">
        <v>124</v>
      </c>
      <c r="D122" s="15" t="s">
        <v>19</v>
      </c>
      <c r="E122" s="16" t="s">
        <v>90</v>
      </c>
      <c r="F122" s="17">
        <v>350000</v>
      </c>
      <c r="G122" s="17"/>
    </row>
    <row r="123" spans="1:7" ht="28.8" x14ac:dyDescent="0.3">
      <c r="A123" s="25">
        <v>392</v>
      </c>
      <c r="B123" s="25">
        <v>15</v>
      </c>
      <c r="C123" s="25" t="s">
        <v>125</v>
      </c>
      <c r="D123" s="26" t="s">
        <v>19</v>
      </c>
      <c r="E123" s="27" t="s">
        <v>38</v>
      </c>
      <c r="F123" s="28">
        <v>245000</v>
      </c>
      <c r="G123" s="29" t="s">
        <v>120</v>
      </c>
    </row>
    <row r="124" spans="1:7" ht="30" customHeight="1" x14ac:dyDescent="0.3">
      <c r="A124" s="43">
        <v>388</v>
      </c>
      <c r="B124" s="43">
        <v>16</v>
      </c>
      <c r="C124" s="25" t="s">
        <v>125</v>
      </c>
      <c r="D124" s="26" t="s">
        <v>19</v>
      </c>
      <c r="E124" s="27" t="s">
        <v>62</v>
      </c>
      <c r="F124" s="28">
        <v>1000000</v>
      </c>
      <c r="G124" s="29" t="s">
        <v>120</v>
      </c>
    </row>
    <row r="125" spans="1:7" ht="28.8" x14ac:dyDescent="0.3">
      <c r="A125" s="25">
        <v>379</v>
      </c>
      <c r="B125" s="25">
        <v>17</v>
      </c>
      <c r="C125" s="25" t="s">
        <v>125</v>
      </c>
      <c r="D125" s="26" t="s">
        <v>19</v>
      </c>
      <c r="E125" s="27" t="s">
        <v>114</v>
      </c>
      <c r="F125" s="28">
        <v>198750</v>
      </c>
      <c r="G125" s="29" t="s">
        <v>120</v>
      </c>
    </row>
    <row r="126" spans="1:7" ht="33" customHeight="1" x14ac:dyDescent="0.3">
      <c r="A126" s="25">
        <v>298</v>
      </c>
      <c r="B126" s="25">
        <v>18</v>
      </c>
      <c r="C126" s="25" t="s">
        <v>125</v>
      </c>
      <c r="D126" s="26" t="s">
        <v>19</v>
      </c>
      <c r="E126" s="27" t="s">
        <v>85</v>
      </c>
      <c r="F126" s="28">
        <v>640000</v>
      </c>
      <c r="G126" s="29" t="s">
        <v>120</v>
      </c>
    </row>
    <row r="127" spans="1:7" ht="33" customHeight="1" x14ac:dyDescent="0.3">
      <c r="A127" s="25">
        <v>286</v>
      </c>
      <c r="B127" s="25">
        <v>19</v>
      </c>
      <c r="C127" s="25" t="s">
        <v>125</v>
      </c>
      <c r="D127" s="26" t="s">
        <v>19</v>
      </c>
      <c r="E127" s="27" t="s">
        <v>101</v>
      </c>
      <c r="F127" s="28">
        <v>1923000</v>
      </c>
      <c r="G127" s="29" t="s">
        <v>120</v>
      </c>
    </row>
    <row r="128" spans="1:7" ht="43.2" x14ac:dyDescent="0.3">
      <c r="A128" s="25">
        <v>280</v>
      </c>
      <c r="B128" s="25">
        <v>20</v>
      </c>
      <c r="C128" s="25" t="s">
        <v>125</v>
      </c>
      <c r="D128" s="26" t="s">
        <v>19</v>
      </c>
      <c r="E128" s="27" t="s">
        <v>24</v>
      </c>
      <c r="F128" s="28">
        <v>236000</v>
      </c>
      <c r="G128" s="37" t="s">
        <v>120</v>
      </c>
    </row>
    <row r="129" spans="1:8" ht="28.8" x14ac:dyDescent="0.3">
      <c r="A129" s="14">
        <v>272</v>
      </c>
      <c r="B129" s="14">
        <v>21</v>
      </c>
      <c r="C129" s="14" t="s">
        <v>124</v>
      </c>
      <c r="D129" s="15" t="s">
        <v>19</v>
      </c>
      <c r="E129" s="16" t="s">
        <v>15</v>
      </c>
      <c r="F129" s="35">
        <v>2500</v>
      </c>
      <c r="G129" s="36">
        <f>SUM(F129,F122,F119,F109:F115)</f>
        <v>8453500</v>
      </c>
    </row>
    <row r="130" spans="1:8" ht="30.75" customHeight="1" x14ac:dyDescent="0.3">
      <c r="A130" s="25">
        <v>207</v>
      </c>
      <c r="B130" s="25">
        <v>22</v>
      </c>
      <c r="C130" s="25" t="s">
        <v>125</v>
      </c>
      <c r="D130" s="26" t="s">
        <v>19</v>
      </c>
      <c r="E130" s="27" t="s">
        <v>64</v>
      </c>
      <c r="F130" s="28">
        <v>401100</v>
      </c>
      <c r="G130" s="38" t="s">
        <v>120</v>
      </c>
    </row>
    <row r="131" spans="1:8" ht="27.75" customHeight="1" x14ac:dyDescent="0.3">
      <c r="A131" s="25">
        <v>204</v>
      </c>
      <c r="B131" s="25">
        <v>23</v>
      </c>
      <c r="C131" s="25" t="s">
        <v>125</v>
      </c>
      <c r="D131" s="26" t="s">
        <v>19</v>
      </c>
      <c r="E131" s="27" t="s">
        <v>74</v>
      </c>
      <c r="F131" s="28">
        <v>350000</v>
      </c>
      <c r="G131" s="29" t="s">
        <v>120</v>
      </c>
    </row>
    <row r="132" spans="1:8" ht="28.8" x14ac:dyDescent="0.3">
      <c r="A132" s="25">
        <v>191</v>
      </c>
      <c r="B132" s="25">
        <v>24</v>
      </c>
      <c r="C132" s="25" t="s">
        <v>125</v>
      </c>
      <c r="D132" s="26" t="s">
        <v>19</v>
      </c>
      <c r="E132" s="27" t="s">
        <v>112</v>
      </c>
      <c r="F132" s="28">
        <v>350000</v>
      </c>
      <c r="G132" s="29" t="s">
        <v>120</v>
      </c>
    </row>
    <row r="133" spans="1:8" ht="28.8" x14ac:dyDescent="0.3">
      <c r="A133" s="25">
        <v>183</v>
      </c>
      <c r="B133" s="25">
        <v>25</v>
      </c>
      <c r="C133" s="25" t="s">
        <v>125</v>
      </c>
      <c r="D133" s="26" t="s">
        <v>19</v>
      </c>
      <c r="E133" s="27" t="s">
        <v>83</v>
      </c>
      <c r="F133" s="28">
        <v>592365</v>
      </c>
      <c r="G133" s="29" t="s">
        <v>120</v>
      </c>
    </row>
    <row r="134" spans="1:8" ht="28.8" x14ac:dyDescent="0.3">
      <c r="A134" s="25">
        <v>167</v>
      </c>
      <c r="B134" s="25">
        <v>26</v>
      </c>
      <c r="C134" s="25" t="s">
        <v>125</v>
      </c>
      <c r="D134" s="26" t="s">
        <v>19</v>
      </c>
      <c r="E134" s="27" t="s">
        <v>71</v>
      </c>
      <c r="F134" s="28">
        <v>350000</v>
      </c>
      <c r="G134" s="29" t="s">
        <v>120</v>
      </c>
    </row>
    <row r="135" spans="1:8" ht="28.8" x14ac:dyDescent="0.3">
      <c r="A135" s="25">
        <v>154</v>
      </c>
      <c r="B135" s="25">
        <v>27</v>
      </c>
      <c r="C135" s="25" t="s">
        <v>125</v>
      </c>
      <c r="D135" s="26" t="s">
        <v>19</v>
      </c>
      <c r="E135" s="27" t="s">
        <v>94</v>
      </c>
      <c r="F135" s="28">
        <v>200000</v>
      </c>
      <c r="G135" s="29" t="s">
        <v>120</v>
      </c>
    </row>
    <row r="136" spans="1:8" ht="39.75" customHeight="1" x14ac:dyDescent="0.3">
      <c r="A136" s="25">
        <v>133</v>
      </c>
      <c r="B136" s="25">
        <v>28</v>
      </c>
      <c r="C136" s="25" t="s">
        <v>125</v>
      </c>
      <c r="D136" s="26" t="s">
        <v>19</v>
      </c>
      <c r="E136" s="27" t="s">
        <v>39</v>
      </c>
      <c r="F136" s="28">
        <v>74400</v>
      </c>
      <c r="G136" s="29" t="s">
        <v>120</v>
      </c>
      <c r="H136" s="8"/>
    </row>
    <row r="137" spans="1:8" ht="31.5" customHeight="1" thickBot="1" x14ac:dyDescent="0.35">
      <c r="A137" s="25">
        <v>56</v>
      </c>
      <c r="B137" s="25">
        <v>29</v>
      </c>
      <c r="C137" s="25" t="s">
        <v>125</v>
      </c>
      <c r="D137" s="26" t="s">
        <v>19</v>
      </c>
      <c r="E137" s="27" t="s">
        <v>88</v>
      </c>
      <c r="F137" s="28">
        <v>100000</v>
      </c>
      <c r="G137" s="29" t="s">
        <v>120</v>
      </c>
    </row>
    <row r="138" spans="1:8" ht="28.8" x14ac:dyDescent="0.3">
      <c r="A138" s="56">
        <v>1274</v>
      </c>
      <c r="B138" s="9">
        <v>1</v>
      </c>
      <c r="C138" s="9" t="s">
        <v>124</v>
      </c>
      <c r="D138" s="11" t="s">
        <v>20</v>
      </c>
      <c r="E138" s="12" t="s">
        <v>59</v>
      </c>
      <c r="F138" s="13">
        <v>2684000</v>
      </c>
      <c r="G138" s="57"/>
    </row>
    <row r="139" spans="1:8" ht="26.25" customHeight="1" x14ac:dyDescent="0.3">
      <c r="A139" s="48">
        <v>995</v>
      </c>
      <c r="B139" s="14">
        <v>2</v>
      </c>
      <c r="C139" s="14" t="s">
        <v>124</v>
      </c>
      <c r="D139" s="15" t="s">
        <v>20</v>
      </c>
      <c r="E139" s="16" t="s">
        <v>126</v>
      </c>
      <c r="F139" s="17">
        <v>1500000</v>
      </c>
      <c r="G139" s="49"/>
    </row>
    <row r="140" spans="1:8" ht="28.8" x14ac:dyDescent="0.3">
      <c r="A140" s="48">
        <v>887</v>
      </c>
      <c r="B140" s="14">
        <v>3</v>
      </c>
      <c r="C140" s="14" t="s">
        <v>124</v>
      </c>
      <c r="D140" s="15" t="s">
        <v>20</v>
      </c>
      <c r="E140" s="16" t="s">
        <v>99</v>
      </c>
      <c r="F140" s="17">
        <v>1500000</v>
      </c>
      <c r="G140" s="49"/>
    </row>
    <row r="141" spans="1:8" ht="28.8" x14ac:dyDescent="0.3">
      <c r="A141" s="48">
        <v>580</v>
      </c>
      <c r="B141" s="14">
        <v>4</v>
      </c>
      <c r="C141" s="14" t="s">
        <v>124</v>
      </c>
      <c r="D141" s="15" t="s">
        <v>20</v>
      </c>
      <c r="E141" s="16" t="s">
        <v>47</v>
      </c>
      <c r="F141" s="17">
        <v>1118030</v>
      </c>
      <c r="G141" s="49"/>
    </row>
    <row r="142" spans="1:8" ht="28.8" x14ac:dyDescent="0.3">
      <c r="A142" s="51">
        <v>553</v>
      </c>
      <c r="B142" s="25">
        <v>5</v>
      </c>
      <c r="C142" s="25" t="s">
        <v>125</v>
      </c>
      <c r="D142" s="26" t="s">
        <v>20</v>
      </c>
      <c r="E142" s="27" t="s">
        <v>69</v>
      </c>
      <c r="F142" s="28">
        <v>485000</v>
      </c>
      <c r="G142" s="60" t="s">
        <v>119</v>
      </c>
    </row>
    <row r="143" spans="1:8" ht="28.8" x14ac:dyDescent="0.3">
      <c r="A143" s="51">
        <v>360</v>
      </c>
      <c r="B143" s="25">
        <v>6</v>
      </c>
      <c r="C143" s="25" t="s">
        <v>125</v>
      </c>
      <c r="D143" s="26" t="s">
        <v>20</v>
      </c>
      <c r="E143" s="27" t="s">
        <v>58</v>
      </c>
      <c r="F143" s="28">
        <v>1500000</v>
      </c>
      <c r="G143" s="60" t="s">
        <v>120</v>
      </c>
    </row>
    <row r="144" spans="1:8" ht="28.8" x14ac:dyDescent="0.3">
      <c r="A144" s="51">
        <v>263</v>
      </c>
      <c r="B144" s="25">
        <v>7</v>
      </c>
      <c r="C144" s="25" t="s">
        <v>125</v>
      </c>
      <c r="D144" s="26" t="s">
        <v>20</v>
      </c>
      <c r="E144" s="27" t="s">
        <v>17</v>
      </c>
      <c r="F144" s="28">
        <v>1740000</v>
      </c>
      <c r="G144" s="60" t="s">
        <v>120</v>
      </c>
    </row>
    <row r="145" spans="1:7" x14ac:dyDescent="0.3">
      <c r="A145" s="48">
        <v>218</v>
      </c>
      <c r="B145" s="14">
        <v>8</v>
      </c>
      <c r="C145" s="14" t="s">
        <v>124</v>
      </c>
      <c r="D145" s="15" t="s">
        <v>20</v>
      </c>
      <c r="E145" s="16" t="s">
        <v>68</v>
      </c>
      <c r="F145" s="17">
        <v>200000</v>
      </c>
      <c r="G145" s="49"/>
    </row>
    <row r="146" spans="1:7" ht="30.75" customHeight="1" thickBot="1" x14ac:dyDescent="0.35">
      <c r="A146" s="58">
        <v>208</v>
      </c>
      <c r="B146" s="21">
        <v>9</v>
      </c>
      <c r="C146" s="21" t="s">
        <v>124</v>
      </c>
      <c r="D146" s="22" t="s">
        <v>20</v>
      </c>
      <c r="E146" s="23" t="s">
        <v>84</v>
      </c>
      <c r="F146" s="24">
        <v>102875</v>
      </c>
      <c r="G146" s="59">
        <f>SUM(F145:F146,F138:F141)</f>
        <v>7104905</v>
      </c>
    </row>
  </sheetData>
  <sortState xmlns:xlrd2="http://schemas.microsoft.com/office/spreadsheetml/2017/richdata2" ref="A79:L88">
    <sortCondition descending="1" ref="A79:A88"/>
  </sortState>
  <pageMargins left="0.23622047244094491" right="0.15748031496062992" top="0.47244094488188981" bottom="0.31496062992125984" header="0.19685039370078741" footer="0.31496062992125984"/>
  <pageSetup paperSize="9" fitToHeight="0" orientation="landscape" r:id="rId1"/>
  <headerFooter>
    <oddHeader>&amp;CEscrutinio MUNRO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MVL</dc:creator>
  <cp:lastModifiedBy>Sofìa Carla Cerruti Romero</cp:lastModifiedBy>
  <cp:lastPrinted>2017-10-10T17:34:47Z</cp:lastPrinted>
  <dcterms:created xsi:type="dcterms:W3CDTF">2017-10-05T13:19:47Z</dcterms:created>
  <dcterms:modified xsi:type="dcterms:W3CDTF">2026-05-20T15:40:42Z</dcterms:modified>
</cp:coreProperties>
</file>