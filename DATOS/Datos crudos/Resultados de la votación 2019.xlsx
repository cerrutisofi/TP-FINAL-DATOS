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5fa8a9efe53b17c/Documentos/TP FINAL DATOS/"/>
    </mc:Choice>
  </mc:AlternateContent>
  <xr:revisionPtr revIDLastSave="0" documentId="11_252AAE1A57245EB1D6B853B9ECCAFFF85EB24B53" xr6:coauthVersionLast="47" xr6:coauthVersionMax="47" xr10:uidLastSave="{00000000-0000-0000-0000-000000000000}"/>
  <bookViews>
    <workbookView xWindow="-408" yWindow="648" windowWidth="17280" windowHeight="8880" xr2:uid="{00000000-000D-0000-FFFF-FFFF00000000}"/>
  </bookViews>
  <sheets>
    <sheet name="resultados votación 2019" sheetId="1" r:id="rId1"/>
  </sheets>
  <definedNames>
    <definedName name="_xlnm.Print_Area" localSheetId="0">'resultados votación 2019'!$A$1:$I$214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4" i="1" l="1"/>
  <c r="I201" i="1"/>
  <c r="I173" i="1"/>
  <c r="I142" i="1"/>
  <c r="I130" i="1"/>
  <c r="I113" i="1"/>
  <c r="I72" i="1"/>
  <c r="I38" i="1"/>
  <c r="I14" i="1"/>
</calcChain>
</file>

<file path=xl/sharedStrings.xml><?xml version="1.0" encoding="utf-8"?>
<sst xmlns="http://schemas.openxmlformats.org/spreadsheetml/2006/main" count="861" uniqueCount="215">
  <si>
    <t>Club SUVA (Sociedades Unidas de Villa Adelina): nuevo vestuario.</t>
  </si>
  <si>
    <t>Jardín de Infantes Nº 907: reformar el patio de juegos.</t>
  </si>
  <si>
    <t>AVAPEA (Asoc Vecinos y Amigos de la Plaza E Ader): 3º etapa del salón de usos múltiples.</t>
  </si>
  <si>
    <t>Escuela de Educación Técnica Nº 1: poner en valor aulas del 1º piso. Equipos multimedia.</t>
  </si>
  <si>
    <t>Escuela Secundaria Nº 11: equipos de aire acondicionado con instalación eléctrica. Proyector e instrumentos musicales.</t>
  </si>
  <si>
    <t>Seguridad del barrio: mejorar el equipamiento de tecnológico.</t>
  </si>
  <si>
    <t>Jardín de Infantes N° 7: sistema de climatización y tecnología.</t>
  </si>
  <si>
    <t>Polideportivo de Villa Adelina: compra de un grupo electrógeno.</t>
  </si>
  <si>
    <t>Club de Leones de Villa Adelina: 2 nuevos aires acondicionados.</t>
  </si>
  <si>
    <t>Semáforo Av. Ader y Castelli y segundero regresivo en Sgo. del Estero y Cajaraville.</t>
  </si>
  <si>
    <t>Mejoremos los Puntos Verdes de residuos reciclables (puntos de reciclado automático).</t>
  </si>
  <si>
    <t>Manos a la masa: taller de alimentación saludable en escuelas.</t>
  </si>
  <si>
    <t>Plazoleta 9 de Julio y Paraná: puesta en valor.</t>
  </si>
  <si>
    <t>Bomberos Voluntarios de Vicente López: equipamiento para el Destacamento de Villa Martelli.</t>
  </si>
  <si>
    <t>Club Atlético Laprida: baño para personas con movilidad reducida y reformas en la planta baja.</t>
  </si>
  <si>
    <t xml:space="preserve">Cruz Roja Argentina: puesto sanitario para extracción de sangre. </t>
  </si>
  <si>
    <t>Escuela Secundaria Nº 2: renovación de equipamiento informático. Pintura del patio. Provisión de mobiliario.</t>
  </si>
  <si>
    <t>Jardín de Infantes Nº 918: equipamiento tecnológico</t>
  </si>
  <si>
    <t>Centro de Fomento Cultural y Deportivo Padilla: reformas en vestuarios, baños y cocina.</t>
  </si>
  <si>
    <t xml:space="preserve">Escuela Primaria Nº 20: espacio de usos múltiples </t>
  </si>
  <si>
    <t>Jardín Maternal Municipal Nº 1: material didáctico y equipamiento para la cocina.</t>
  </si>
  <si>
    <t>Centro Barrial Infantil Habana: ampliación de la sala de computación</t>
  </si>
  <si>
    <t>Fundación Camino: mejoramiento de la instalación eléctrica.</t>
  </si>
  <si>
    <t>CEMINA Villa Martelli: cambio y relocalización de termotanques.</t>
  </si>
  <si>
    <t>Centro Barrial de Juventud Villa Martelli: acustización e insonorización de las salas de expresión y carpintería.</t>
  </si>
  <si>
    <t>Escuela Primaria Nº 7: renovación de baños. Reparación de otras dependencias.</t>
  </si>
  <si>
    <t>Escuela Primaria Nº 11: reparación y cambio de persianas de enrollar.</t>
  </si>
  <si>
    <t>La ecología empieza por casa: talleres de reciclaje.</t>
  </si>
  <si>
    <t>Barrio Habana: reparación de rejas perimetrales.</t>
  </si>
  <si>
    <t>Centro Municipal de Capacitación Laboral: renovación de baños.</t>
  </si>
  <si>
    <t>Artistas Plásticos de Villa Martelli: mobiliario y materiales para los cursos.</t>
  </si>
  <si>
    <t>Centro de la 3 edad Unidos en Armonía: Pintura interna.</t>
  </si>
  <si>
    <t>Rampas en esquinas para mejorar la accesibilidad.</t>
  </si>
  <si>
    <t>Semáforos completos en Zufriategui y Bolivia.</t>
  </si>
  <si>
    <t>Plazas infantiles para los niños y adolescentes (sobre Juan B. de Lasalle): renovación de juegos y mejoramiento del mobiliario.</t>
  </si>
  <si>
    <t>Reductores de velocidad Lavalle y Uruguay.</t>
  </si>
  <si>
    <t>Escuela de Educación Técnica Nº 4: reacondicionar aulas de talleres.</t>
  </si>
  <si>
    <t>Club Atlético Colegiales: reformas en el Gimnasio.</t>
  </si>
  <si>
    <t>ACER (Red CONIN): galería techada, piso y reacondicionamiento de baños para la primera infancia.</t>
  </si>
  <si>
    <t>Club Unión Florida: generar un espacio para un nuevo gimnasio.</t>
  </si>
  <si>
    <t>Jardín Maternal Municipal Nº 5: equipamiento tecnológico y para la cocina.</t>
  </si>
  <si>
    <t>Jardín de Infantes "Conejín" (Barrio Las Flores): renovación del patio de juegos.</t>
  </si>
  <si>
    <t>Escuela Secundaria Básica Nº 8: cambiar puerta de ingreso, reparar filtraciones y equipamiento para las aulas.</t>
  </si>
  <si>
    <t>Talleres de Educación Sexual Integral, Violencia de Género y Reciclaje en escuelas secundarias del barrio.</t>
  </si>
  <si>
    <t>Jardín de Infantes Nº 908: aire acondicionado el SUM, piso de goma y patio de juegos.</t>
  </si>
  <si>
    <t>Las Flores: mi barrio, mi hogar: identificación de viviendas y señalización dentro del barrio.</t>
  </si>
  <si>
    <t>Florida Club: adaptación del edificio para personas con movilidad reducida.</t>
  </si>
  <si>
    <t>Sociedad de Fomento Jose Hernández: nuevo espacio para realizar actividades.</t>
  </si>
  <si>
    <t>Jardín de Infantes "Las Hormiguitas" (Barrio Las Flores): construcción de nueva aula y baños.</t>
  </si>
  <si>
    <t>Escuela Primaria Nº 5: refacción del comedor y de la cocina.</t>
  </si>
  <si>
    <t>Biblioteca Popular Nora Bombelli: pintura interior y exterior.</t>
  </si>
  <si>
    <t>Sociedad de Fomento "Florida Sud": construcción de un depósito.</t>
  </si>
  <si>
    <t>Jardín Maternal Municipal Nº 8: modernización tecnológica y mobiliario.</t>
  </si>
  <si>
    <t>Jardín Maternal Municipal Nº 3: remodelación del patio y piso antigolpes.</t>
  </si>
  <si>
    <t>Unión Vecinal Amigos de Florida Oeste (UVAFO): mejoramiento del Salón de Usos Múltiples.</t>
  </si>
  <si>
    <t>Jardín de Infantes Nº 912: aire acondicionado en dirección, piso antigolpes en el SUM.</t>
  </si>
  <si>
    <t>Escuela de Capacitación Municipal "Llobet": equipamiento tecnológico.</t>
  </si>
  <si>
    <t>Centro de Jubilados "Amor y Amistad": puerta de ingreso y provisión de sillas para actividades.</t>
  </si>
  <si>
    <t>Cestos de basura en la vía pública.</t>
  </si>
  <si>
    <t>Florida Oeste Verde: plantado de especies autóctonas en el barrio.</t>
  </si>
  <si>
    <t>Refugios para paradas de colectivo de la línea municipal del Bicentenario.</t>
  </si>
  <si>
    <t>Centro Barrial Infantil Las Flores: materiales didácticos.</t>
  </si>
  <si>
    <t>Reposición de luminarias en Sargento Cabral entre Francia e H. Yrigoyen</t>
  </si>
  <si>
    <t>Mejorando nuestros espacios comunes en el Barrio de Las Flores.</t>
  </si>
  <si>
    <t>Semáforo en Carlos Calvo e H. Yrigoyen y en Mitre y Esmeralda</t>
  </si>
  <si>
    <t>Escuela de Adultos Nº 702: equipamiento tecnológico, materiales para deporte, mobiliario.</t>
  </si>
  <si>
    <t>Pintura de dársenas en la calzada para colectivos sobre San Martín y sobre Yrigoyen (desde Constituyentes hasta Echeverría).</t>
  </si>
  <si>
    <t>Reductores de velocidad calle Francia, de E. Echeverría hasta Av Mitre.</t>
  </si>
  <si>
    <t>Asociación Vecinal CIRES Norte: remodelación de  vestuarios.</t>
  </si>
  <si>
    <t>Sociedad de Fomento "12 de Octubre": construcción de un SUM.</t>
  </si>
  <si>
    <t>Hospice San Camilo: reparación de la cubierta.</t>
  </si>
  <si>
    <t>Colegio Virgen del Carmen: baño para personas con movilidad reducida y reparaciones en baños.</t>
  </si>
  <si>
    <t>Jardín de Infantes Municipal Nº 6: equipamiento tecnológico.</t>
  </si>
  <si>
    <t>Escuela Primaria Nº 2: reparación de patio de juegos.</t>
  </si>
  <si>
    <t>Escuela de Educación Especial Nº 502: equipamiento.</t>
  </si>
  <si>
    <t>Escuela Primaria Nº 31 y Escuela Secundaria Nº 10: remodelación de baños y pintura interior.</t>
  </si>
  <si>
    <t>Escuela Primaria Nº 1 y Escuela Secundaria Nº 1: construcción de rampas. Baños para personas con movilidad reducida. Cambio de puertas.</t>
  </si>
  <si>
    <t>Escuela de Educación Técnica Nº 3: equipamiento de aula de multimedios.</t>
  </si>
  <si>
    <t>APIAD (Centro de día de protección integral al discapacitado): adquisición de un grupo electrógeno.</t>
  </si>
  <si>
    <t>Jardin de Infantes Nº 10 - Jardín Maternal Nº 12 (Municipales): cerramiento de un sector de la azotea.</t>
  </si>
  <si>
    <t>Campo Municipal de Deportes Nº 1: techado de la pileta infantil.</t>
  </si>
  <si>
    <t>Jardín de Infantes Municipal Nº 9: renovación de los baños.</t>
  </si>
  <si>
    <t>Hogar Querubines: mejoras y equipamiento.</t>
  </si>
  <si>
    <t>Orquesta de Niños de Vicente López: provisión de instrumentos musicales (Fundación Tiempo de Argentina).</t>
  </si>
  <si>
    <t>Centro de Jubilados y Pensionados "Sarmiento": aire acondicionado para el salón y equipos de audio.</t>
  </si>
  <si>
    <t>Escuela Secundaria Municipal "Paula Albarracín de Sarmiento": nuevo sistema de climatización.</t>
  </si>
  <si>
    <t>CAOSA (Club Amistad Olivos Social Atlético): instalación de gas. Reparar baño. Pintura general.</t>
  </si>
  <si>
    <t>Club Defensores de Olivos: remodelación del quincho.</t>
  </si>
  <si>
    <t>Grupo Scout "H. Bouchard": techado del patio de juegos.</t>
  </si>
  <si>
    <t>Asociación Civil Emprender: equipamiento para 'Lavadero Los Artesanos'.</t>
  </si>
  <si>
    <t>Jardín Maternal Municipal Nº 16: plaza blanda y equipamiento tecnológico.</t>
  </si>
  <si>
    <t xml:space="preserve">Instituto Superior de Música José Hernández (Municipal): instrumentos para conciertos. </t>
  </si>
  <si>
    <t>Biblioteca Popular de Olivos: rampa para el acceso al edificio para personas con movilidad reducida.</t>
  </si>
  <si>
    <t>Voy a cuidar la especie animal: talleres en escuelas.</t>
  </si>
  <si>
    <t>Centro de Formación Profesional "Barreiro Aguirre": equipamiento tecnológico y para el taller de cerámica.</t>
  </si>
  <si>
    <t>Centro Barrial Infantil La Loma: materiales didácticos y espacio lúdico.</t>
  </si>
  <si>
    <t>Yoga, respiración y meditación para chicos y docentes en las escuelas.</t>
  </si>
  <si>
    <t>Semáforos con segundero regresivo en 50 cruces, semáforo en Bermúdez y Beiró y de giro a la izquierda en Uzal y Debenedetti.</t>
  </si>
  <si>
    <t>Jardín de Infantes Nº 917: instalación de piso antigolpe en el patio de juegos.</t>
  </si>
  <si>
    <t>Centro Barrial de Juventud La Loma: impresora 3D y computadoras para el taller de robótica.</t>
  </si>
  <si>
    <t>Plaza para niños en Chacabuco 2470: puesta en valor.</t>
  </si>
  <si>
    <t>Centro de Investigación Histórica Vicente López: provisión de equipamiento tecnólogico.</t>
  </si>
  <si>
    <t>Reductores de velocidad y señalizacion sobre la calle Bermudez desde Colectora hasta Cnel Uzal.</t>
  </si>
  <si>
    <t>Plaza de los Inmigrantes: reparacion de cerco divisorio entre la plaza y las casas linderas.</t>
  </si>
  <si>
    <t>Plaza Vicente Querido: reforma y equipamiento (sujeto a la aprobación de FFCC).</t>
  </si>
  <si>
    <t>Club VILO: acondicionar cancha de fútbol.</t>
  </si>
  <si>
    <t>Centro Cultural Jean Piaget en ISFD Nº39: última etapa.</t>
  </si>
  <si>
    <t>Escuela Secundaria Nº 6: remodelación de baños (2ª etapa)</t>
  </si>
  <si>
    <t>Centro Recreativo de Adultos Mayores Activos: aire acondicionado en salones y provisión de divisiones móviles.</t>
  </si>
  <si>
    <t>Parque de Calistenia en el vial costero.</t>
  </si>
  <si>
    <t>Instituto Bignone: horno para el taller de cerámica.</t>
  </si>
  <si>
    <t>Escuela Primaria N° 8: pintura y arreglo de paredes en general.</t>
  </si>
  <si>
    <t>Rampas en esquinas.</t>
  </si>
  <si>
    <t>Mejorar el mobiliario urbano en el Paseo Costero de Vicente López.</t>
  </si>
  <si>
    <t>Senderos del Sembrador: espacio de kinefilaxis y rehabilitación física.</t>
  </si>
  <si>
    <t>Estacionamiento para personas con discapacidad: señalizar en Av. Maipú desde Zufriategui hasta Malaver (sobre algunas calles transversales).</t>
  </si>
  <si>
    <t>Centro de Jubilados "Encuentro de amigos felices": mueble para guardado.</t>
  </si>
  <si>
    <t>Reductores de velocidad en 25 de Mayo y Agustin Álvarez.</t>
  </si>
  <si>
    <t>Pórtico con anuncio de comienzo "Metrobus Norte" sobre Av. Maipú.</t>
  </si>
  <si>
    <t>Bomberos Voluntarios de Vicente López: equipamiento para el Destacamento de Carapachay.</t>
  </si>
  <si>
    <t>Unión Vecinal 25 de Mayo: mejoras edilicias.</t>
  </si>
  <si>
    <t>Escuela Primaria N° 18: renovación de baños.</t>
  </si>
  <si>
    <t>Escuela Secundaria Nº 3: equipos de climatización frío-calor.</t>
  </si>
  <si>
    <t>Centro de Jubilados y pensionados de Carapachay: equipamiento.</t>
  </si>
  <si>
    <t>Centro de Jubilados "Luna de Otoño": equipamiento.</t>
  </si>
  <si>
    <t>Sociedad de Fomento Drysdale: equipamiento para talleres de arte y música.</t>
  </si>
  <si>
    <t>Centro de Jubilados "Unión Fraternal de Carapachay": equipamiento.</t>
  </si>
  <si>
    <t>Semáforo completo en A. Argentina y Castelli y semáforo peatonal con cuenta regresiva en Drysdale y Castelli.</t>
  </si>
  <si>
    <t>Junta Vecinal Manuel Belgrano: construcción de losa y escalera de acceso.</t>
  </si>
  <si>
    <t>Escuela Primaria Nº 19: equipos de aire acondicionado. Reparar baños. Pintura en patios.</t>
  </si>
  <si>
    <t>Sociedad de Fomento y Cultura Grossville: construcción de una losa.</t>
  </si>
  <si>
    <t>Centro de exploración musical: construcción de una sala de ensayos para grupos de músicos.</t>
  </si>
  <si>
    <t>Club Unión Munro: cambio de luminarias. Revisión instalación eléctrica. Reparación vereda.</t>
  </si>
  <si>
    <t>Asociación Esteban Echeverría: ampliación edilicia en el comedor.</t>
  </si>
  <si>
    <t>Escuela de Educación Especial Nº 504: nuevo patio de juegos.</t>
  </si>
  <si>
    <t>Escuela Primaria Nº 32: reciclar baños. Puesta en valor del salón de planta alta.</t>
  </si>
  <si>
    <t>Escuela de Educación Especial Nº 503: pintura general interior.</t>
  </si>
  <si>
    <t>Centro de Jubilados "Gracias a la vida": provisión de manteleria y cortinas.</t>
  </si>
  <si>
    <t>Instituto Superior de Formación Técnica Nº 220: sistema de climatización.</t>
  </si>
  <si>
    <t>Biblioteca Salvador Bel: equipamiento tecnológico.</t>
  </si>
  <si>
    <t>Escuela de Educación Técnica Nº 2: pintura del comedor. Mobiliario y utensillos para el comedor.</t>
  </si>
  <si>
    <t>Agrupación de Jubilados "Rivadavia": adaptación del espacio para personas con movilidad reducida.</t>
  </si>
  <si>
    <t>Jardín Maternal Municipal Nº 11: juegos para patio exterior.</t>
  </si>
  <si>
    <t>Jardín Maternal Municipal Nº 4: cerramiento con lona cristal del patio exterior.</t>
  </si>
  <si>
    <t>Jardín de Infantes Nº 909: aire acondicionado para salas y para el SUM.</t>
  </si>
  <si>
    <t>Escuela Primaria Nº 4: aire acondicionado para 14 aulas con instalación eléctrica. Material para pintura interior.</t>
  </si>
  <si>
    <t>Escuela Primaria Nº 10: puesta en valor del escenario. Equipamiento para audio.</t>
  </si>
  <si>
    <t>Club Ferrocarril Belgrano para la Tercera Edad: puerta de emergencia y equipamiento tecnológico.</t>
  </si>
  <si>
    <t>Semáforos en Av. Mitre y  G. Spano y en C. de Coquimbo y San Lorenzo.</t>
  </si>
  <si>
    <t>Centro Barrial de Juventud Munro: modernización de las computadoras de la sala de informática.</t>
  </si>
  <si>
    <t>Escuela Primaria Nº 30: equipamiento informatico y pintura interior.</t>
  </si>
  <si>
    <t>Mural con la historia del barrio de Munro en el nuevo túnel bajo nivel.</t>
  </si>
  <si>
    <t>Plaza en Cosme Argerich y Juramento: puesta en valor.</t>
  </si>
  <si>
    <t>Señalización vial horizontal en Sívori desde Av. Mitre hasta Albarellos.</t>
  </si>
  <si>
    <t>Señalización de paradas de colectivos en la calzada en Ugarte entre Av. Mitre y Echeverría (pintura de dársenas).</t>
  </si>
  <si>
    <t>Club Industrial de Munro: ampliación edilicia.</t>
  </si>
  <si>
    <t>Club Social y Deportivo Estrella Federal: ampliación del buffet y mejoras en un salón.</t>
  </si>
  <si>
    <t>Cruz Roja Argentina: remodelación de la sede.</t>
  </si>
  <si>
    <t>Club Social y Deportivo Caseros: mejorar el piso del SUM y vestuarios.</t>
  </si>
  <si>
    <t>Florida Tenis Club: reforma integral del salón y la cocina y renovación de baños (abierto a la comunidad).</t>
  </si>
  <si>
    <t>APOVILO (Asoc Pacientes Oncológicos de Vicente López): adquisición de un vehículo de traslado de personas.</t>
  </si>
  <si>
    <t>Club Villa Pearson: vestuarios y adecuación para personas con discapacidad.</t>
  </si>
  <si>
    <t>Escuela Primaria Nº 12: remodelación de baños de planta baja y 1º piso.</t>
  </si>
  <si>
    <t>Escuela Primaria Nº 13: mejoras en el comedor, cocina y equipamiento.</t>
  </si>
  <si>
    <t>Asociación Seguir Creciendo: remodelación de la cocina.</t>
  </si>
  <si>
    <t>Escuela Secundaria Nº 8: reparaciones estructurales. Sala de Música. Equipamiento tecnológico.</t>
  </si>
  <si>
    <t>Escuela Secundaria Nº 7: mejoras edilicias y equipamiento.</t>
  </si>
  <si>
    <t>Cuidado y respeto van de la mano: buen trato a los animales de compañía.</t>
  </si>
  <si>
    <t>Jardín de Infantes Nº 903: reparaciones de albañilería y pintura interior.</t>
  </si>
  <si>
    <t>Jardín Maternal Nº 10: modificar SUM, cambiando puerta corrediza y toldo en patio.</t>
  </si>
  <si>
    <t>Centro de Formación Integral Nº 1: remodelación en cocina y equipamiento.</t>
  </si>
  <si>
    <t>Jardín de Infantes Nº 902: nuevo circuito electrico para futura instalación de A.A. en las salas. Reparaciones varias.</t>
  </si>
  <si>
    <t>Escuela Primaria Nº 3: reparaciones en el gimnasio.</t>
  </si>
  <si>
    <t>Asociación Amigos y Jubilados de la Estación Mitre: pintura interior. Y recambio luminarias.</t>
  </si>
  <si>
    <t>Escuela Secundaria Nº 4: reparación de la terraza.</t>
  </si>
  <si>
    <t>Asociación Madres del Dolor: reparación de filtraciones y cambio de aberturas.</t>
  </si>
  <si>
    <t>Reductores de velocidad en Warnes y Güemes.</t>
  </si>
  <si>
    <t>Semáforos en H. Yrigoyen y en Roca (entre B. Parera y Maipú), en algunos cruces.</t>
  </si>
  <si>
    <t>Refugio de parada de colectivo en Blas Parera y Melo.</t>
  </si>
  <si>
    <t>Reloj Plaza Remedios de Escalada en Florida Mitre.</t>
  </si>
  <si>
    <t>Sociedad de Fomento de La Lucila: reforma del SUM de planta alta.</t>
  </si>
  <si>
    <t>Jardín de Infantes Municipal N° 8: equipamiento, materiales didácticos, pintura y acondicionamiento del patio.</t>
  </si>
  <si>
    <t>Observatorio de aves y mirador en Parque Temático Eólico La Lucila.</t>
  </si>
  <si>
    <t>UAP EL CEIBO: Construcción de un nuevo espacio para consultorio.</t>
  </si>
  <si>
    <t>Centro Barrial Infantil El Ceibo: patio interno y materiales didácticos.</t>
  </si>
  <si>
    <t>Escuela Primaria Nº16: pintura interna, piso de dirección y secretaría.</t>
  </si>
  <si>
    <t>Mejoremos los Puntos Verdes de residuos reciclables (puntos de reciclado automático)</t>
  </si>
  <si>
    <t>Parque Paseo Enamour: 3ª etapa.</t>
  </si>
  <si>
    <t>Refugios en paradas de colectivo línea 59 (varias ubicaciones)</t>
  </si>
  <si>
    <t>Rampas en esquinas: varias ubicaciones</t>
  </si>
  <si>
    <t>Plan de fomento de lectura en la primera infancia</t>
  </si>
  <si>
    <t>GANADOR</t>
  </si>
  <si>
    <t>BARRIO</t>
  </si>
  <si>
    <t>PROYECTO</t>
  </si>
  <si>
    <t>PRESUPUESTO ESTIMADO</t>
  </si>
  <si>
    <t>VILLA ADELINA</t>
  </si>
  <si>
    <t>SI</t>
  </si>
  <si>
    <t>NO</t>
  </si>
  <si>
    <t>VILLA MARTELLI</t>
  </si>
  <si>
    <t>Nº DE PROYECTO EN LA BOLETA DEL BARRIO</t>
  </si>
  <si>
    <t>Excede presupuesto del barrio</t>
  </si>
  <si>
    <t>FLORIDA OESTE</t>
  </si>
  <si>
    <t>OLIVOS</t>
  </si>
  <si>
    <t>VICENTE LÓPEZ</t>
  </si>
  <si>
    <t>CARAPACHAY</t>
  </si>
  <si>
    <t>MUNRO</t>
  </si>
  <si>
    <t>FLORIDA ESTE</t>
  </si>
  <si>
    <t>LA LUCILA</t>
  </si>
  <si>
    <t>Cantidad de votos obtenidos por el proyecto</t>
  </si>
  <si>
    <t>Observaciones</t>
  </si>
  <si>
    <t>El proyecto se realizará en 2020</t>
  </si>
  <si>
    <t>Orden en la votación seguún cantidad de votos obtenidos</t>
  </si>
  <si>
    <t>Centro Comercial de Munro: puesta en valor de veredas (comenzando por Vélez Sársfield, zona oeste).</t>
  </si>
  <si>
    <t>Suma presupuestos proyectos ganadores por barrio</t>
  </si>
  <si>
    <t>Biblioteca Tecnológica Pública (Almafuerte 4600): tercera etapa.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</si>
</sst>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_ [$$-2C0A]\ * #,##0.00_ ;_ [$$-2C0A]\ * \-#,##0.00_ ;_ [$$-2C0A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66" fontId="0" fillId="3" borderId="1" xfId="1" applyNumberFormat="1" applyFont="1" applyFill="1" applyBorder="1" applyAlignment="1">
      <alignment vertical="center"/>
    </xf>
    <xf numFmtId="166" fontId="0" fillId="0" borderId="1" xfId="1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6" fontId="0" fillId="0" borderId="3" xfId="1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vertical="center" wrapText="1"/>
    </xf>
    <xf numFmtId="166" fontId="0" fillId="3" borderId="5" xfId="1" applyNumberFormat="1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166" fontId="0" fillId="0" borderId="10" xfId="1" applyNumberFormat="1" applyFont="1" applyFill="1" applyBorder="1" applyAlignment="1">
      <alignment vertical="center"/>
    </xf>
    <xf numFmtId="0" fontId="0" fillId="0" borderId="6" xfId="0" applyBorder="1"/>
    <xf numFmtId="166" fontId="3" fillId="3" borderId="11" xfId="0" applyNumberFormat="1" applyFont="1" applyFill="1" applyBorder="1" applyAlignment="1">
      <alignment vertical="center" wrapText="1"/>
    </xf>
    <xf numFmtId="0" fontId="0" fillId="0" borderId="8" xfId="0" applyBorder="1"/>
    <xf numFmtId="0" fontId="0" fillId="0" borderId="12" xfId="0" applyBorder="1"/>
    <xf numFmtId="166" fontId="3" fillId="0" borderId="8" xfId="0" applyNumberFormat="1" applyFont="1" applyBorder="1" applyAlignment="1">
      <alignment vertical="center" wrapText="1"/>
    </xf>
    <xf numFmtId="166" fontId="3" fillId="3" borderId="11" xfId="0" applyNumberFormat="1" applyFont="1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10" xfId="0" applyFill="1" applyBorder="1" applyAlignment="1">
      <alignment vertical="center" wrapText="1"/>
    </xf>
    <xf numFmtId="166" fontId="0" fillId="3" borderId="10" xfId="1" applyNumberFormat="1" applyFont="1" applyFill="1" applyBorder="1" applyAlignment="1">
      <alignment vertical="center"/>
    </xf>
    <xf numFmtId="166" fontId="0" fillId="0" borderId="0" xfId="0" applyNumberForma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14"/>
  <sheetViews>
    <sheetView tabSelected="1" workbookViewId="0">
      <selection activeCell="J5" sqref="J5"/>
    </sheetView>
  </sheetViews>
  <sheetFormatPr baseColWidth="10" defaultRowHeight="14.4" x14ac:dyDescent="0.3"/>
  <cols>
    <col min="1" max="1" width="10.44140625" customWidth="1"/>
    <col min="2" max="2" width="9.44140625" customWidth="1"/>
    <col min="3" max="3" width="10.5546875" style="7" customWidth="1"/>
    <col min="4" max="4" width="10.109375" style="7" customWidth="1"/>
    <col min="5" max="5" width="16.109375" style="6" customWidth="1"/>
    <col min="6" max="6" width="61.109375" style="14" customWidth="1"/>
    <col min="7" max="7" width="23.5546875" customWidth="1"/>
    <col min="8" max="8" width="22.33203125" style="13" customWidth="1"/>
    <col min="9" max="9" width="20.109375" customWidth="1"/>
    <col min="10" max="10" width="21" customWidth="1"/>
    <col min="13" max="13" width="14" bestFit="1" customWidth="1"/>
  </cols>
  <sheetData>
    <row r="1" spans="1:13" ht="77.25" customHeight="1" thickBot="1" x14ac:dyDescent="0.35">
      <c r="A1" s="1" t="s">
        <v>199</v>
      </c>
      <c r="B1" s="1" t="s">
        <v>208</v>
      </c>
      <c r="C1" s="1" t="s">
        <v>211</v>
      </c>
      <c r="D1" s="1" t="s">
        <v>191</v>
      </c>
      <c r="E1" s="1" t="s">
        <v>192</v>
      </c>
      <c r="F1" s="1" t="s">
        <v>193</v>
      </c>
      <c r="G1" s="2" t="s">
        <v>194</v>
      </c>
      <c r="H1" s="2" t="s">
        <v>209</v>
      </c>
      <c r="I1" s="16" t="s">
        <v>213</v>
      </c>
    </row>
    <row r="2" spans="1:13" s="6" customFormat="1" ht="30" customHeight="1" x14ac:dyDescent="0.3">
      <c r="A2" s="17">
        <v>3</v>
      </c>
      <c r="B2" s="18">
        <v>1182</v>
      </c>
      <c r="C2" s="18">
        <v>1</v>
      </c>
      <c r="D2" s="18" t="s">
        <v>196</v>
      </c>
      <c r="E2" s="19" t="s">
        <v>195</v>
      </c>
      <c r="F2" s="20" t="s">
        <v>0</v>
      </c>
      <c r="G2" s="21">
        <v>3000000</v>
      </c>
      <c r="H2" s="20" t="s">
        <v>210</v>
      </c>
      <c r="I2" s="22"/>
    </row>
    <row r="3" spans="1:13" s="6" customFormat="1" ht="30" customHeight="1" x14ac:dyDescent="0.3">
      <c r="A3" s="23">
        <v>7</v>
      </c>
      <c r="B3" s="8">
        <v>885</v>
      </c>
      <c r="C3" s="8">
        <v>2</v>
      </c>
      <c r="D3" s="8" t="s">
        <v>196</v>
      </c>
      <c r="E3" s="9" t="s">
        <v>195</v>
      </c>
      <c r="F3" s="10" t="s">
        <v>1</v>
      </c>
      <c r="G3" s="11">
        <v>810000</v>
      </c>
      <c r="H3" s="10" t="s">
        <v>210</v>
      </c>
      <c r="I3" s="24"/>
    </row>
    <row r="4" spans="1:13" s="6" customFormat="1" ht="30" customHeight="1" x14ac:dyDescent="0.3">
      <c r="A4" s="23">
        <v>1</v>
      </c>
      <c r="B4" s="8">
        <v>845</v>
      </c>
      <c r="C4" s="8">
        <v>3</v>
      </c>
      <c r="D4" s="8" t="s">
        <v>196</v>
      </c>
      <c r="E4" s="9" t="s">
        <v>195</v>
      </c>
      <c r="F4" s="10" t="s">
        <v>2</v>
      </c>
      <c r="G4" s="11">
        <v>2500000</v>
      </c>
      <c r="H4" s="10" t="s">
        <v>210</v>
      </c>
      <c r="I4" s="24"/>
    </row>
    <row r="5" spans="1:13" s="6" customFormat="1" ht="30" customHeight="1" x14ac:dyDescent="0.3">
      <c r="A5" s="23">
        <v>4</v>
      </c>
      <c r="B5" s="8">
        <v>568</v>
      </c>
      <c r="C5" s="8">
        <v>4</v>
      </c>
      <c r="D5" s="8" t="s">
        <v>196</v>
      </c>
      <c r="E5" s="9" t="s">
        <v>195</v>
      </c>
      <c r="F5" s="10" t="s">
        <v>3</v>
      </c>
      <c r="G5" s="11">
        <v>3000000</v>
      </c>
      <c r="H5" s="10" t="s">
        <v>210</v>
      </c>
      <c r="I5" s="24"/>
    </row>
    <row r="6" spans="1:13" s="6" customFormat="1" ht="30" customHeight="1" x14ac:dyDescent="0.3">
      <c r="A6" s="23">
        <v>5</v>
      </c>
      <c r="B6" s="8">
        <v>393</v>
      </c>
      <c r="C6" s="8">
        <v>5</v>
      </c>
      <c r="D6" s="8" t="s">
        <v>196</v>
      </c>
      <c r="E6" s="9" t="s">
        <v>195</v>
      </c>
      <c r="F6" s="10" t="s">
        <v>4</v>
      </c>
      <c r="G6" s="11">
        <v>680000</v>
      </c>
      <c r="H6" s="10" t="s">
        <v>210</v>
      </c>
      <c r="I6" s="24"/>
    </row>
    <row r="7" spans="1:13" s="6" customFormat="1" ht="30" customHeight="1" x14ac:dyDescent="0.3">
      <c r="A7" s="25">
        <v>12</v>
      </c>
      <c r="B7" s="3">
        <v>375</v>
      </c>
      <c r="C7" s="3">
        <v>6</v>
      </c>
      <c r="D7" s="3" t="s">
        <v>197</v>
      </c>
      <c r="E7" s="4" t="s">
        <v>195</v>
      </c>
      <c r="F7" s="5" t="s">
        <v>5</v>
      </c>
      <c r="G7" s="12">
        <v>1476923</v>
      </c>
      <c r="H7" s="5" t="s">
        <v>200</v>
      </c>
      <c r="I7" s="24"/>
    </row>
    <row r="8" spans="1:13" s="6" customFormat="1" ht="30" customHeight="1" x14ac:dyDescent="0.3">
      <c r="A8" s="25">
        <v>6</v>
      </c>
      <c r="B8" s="3">
        <v>314</v>
      </c>
      <c r="C8" s="3">
        <v>7</v>
      </c>
      <c r="D8" s="3" t="s">
        <v>197</v>
      </c>
      <c r="E8" s="4" t="s">
        <v>195</v>
      </c>
      <c r="F8" s="5" t="s">
        <v>6</v>
      </c>
      <c r="G8" s="12">
        <v>387000</v>
      </c>
      <c r="H8" s="5" t="s">
        <v>200</v>
      </c>
      <c r="I8" s="24"/>
      <c r="M8" s="42"/>
    </row>
    <row r="9" spans="1:13" s="6" customFormat="1" ht="30" customHeight="1" x14ac:dyDescent="0.3">
      <c r="A9" s="25">
        <v>11</v>
      </c>
      <c r="B9" s="3">
        <v>229</v>
      </c>
      <c r="C9" s="3">
        <v>8</v>
      </c>
      <c r="D9" s="3" t="s">
        <v>197</v>
      </c>
      <c r="E9" s="4" t="s">
        <v>195</v>
      </c>
      <c r="F9" s="5" t="s">
        <v>7</v>
      </c>
      <c r="G9" s="12">
        <v>1150000</v>
      </c>
      <c r="H9" s="5" t="s">
        <v>200</v>
      </c>
      <c r="I9" s="24"/>
    </row>
    <row r="10" spans="1:13" s="6" customFormat="1" ht="30" customHeight="1" x14ac:dyDescent="0.3">
      <c r="A10" s="25">
        <v>2</v>
      </c>
      <c r="B10" s="3">
        <v>214</v>
      </c>
      <c r="C10" s="3">
        <v>9</v>
      </c>
      <c r="D10" s="3" t="s">
        <v>197</v>
      </c>
      <c r="E10" s="4" t="s">
        <v>195</v>
      </c>
      <c r="F10" s="5" t="s">
        <v>8</v>
      </c>
      <c r="G10" s="12">
        <v>430000</v>
      </c>
      <c r="H10" s="5" t="s">
        <v>200</v>
      </c>
      <c r="I10" s="24"/>
    </row>
    <row r="11" spans="1:13" s="6" customFormat="1" ht="30" customHeight="1" x14ac:dyDescent="0.3">
      <c r="A11" s="25">
        <v>13</v>
      </c>
      <c r="B11" s="3">
        <v>209</v>
      </c>
      <c r="C11" s="3">
        <v>10</v>
      </c>
      <c r="D11" s="3" t="s">
        <v>197</v>
      </c>
      <c r="E11" s="4" t="s">
        <v>195</v>
      </c>
      <c r="F11" s="5" t="s">
        <v>9</v>
      </c>
      <c r="G11" s="12">
        <v>1526644</v>
      </c>
      <c r="H11" s="5" t="s">
        <v>200</v>
      </c>
      <c r="I11" s="24"/>
    </row>
    <row r="12" spans="1:13" s="6" customFormat="1" ht="30" customHeight="1" x14ac:dyDescent="0.3">
      <c r="A12" s="25">
        <v>9</v>
      </c>
      <c r="B12" s="3">
        <v>114</v>
      </c>
      <c r="C12" s="3">
        <v>11</v>
      </c>
      <c r="D12" s="3" t="s">
        <v>197</v>
      </c>
      <c r="E12" s="4" t="s">
        <v>195</v>
      </c>
      <c r="F12" s="5" t="s">
        <v>10</v>
      </c>
      <c r="G12" s="12">
        <v>600000</v>
      </c>
      <c r="H12" s="5" t="s">
        <v>200</v>
      </c>
      <c r="I12" s="24"/>
    </row>
    <row r="13" spans="1:13" s="6" customFormat="1" ht="30" customHeight="1" x14ac:dyDescent="0.3">
      <c r="A13" s="25">
        <v>8</v>
      </c>
      <c r="B13" s="3">
        <v>92</v>
      </c>
      <c r="C13" s="3">
        <v>12</v>
      </c>
      <c r="D13" s="3" t="s">
        <v>197</v>
      </c>
      <c r="E13" s="4" t="s">
        <v>195</v>
      </c>
      <c r="F13" s="5" t="s">
        <v>11</v>
      </c>
      <c r="G13" s="12">
        <v>180000</v>
      </c>
      <c r="H13" s="5" t="s">
        <v>200</v>
      </c>
      <c r="I13" s="24"/>
    </row>
    <row r="14" spans="1:13" s="6" customFormat="1" ht="30" customHeight="1" thickBot="1" x14ac:dyDescent="0.35">
      <c r="A14" s="26">
        <v>10</v>
      </c>
      <c r="B14" s="27">
        <v>24</v>
      </c>
      <c r="C14" s="27">
        <v>13</v>
      </c>
      <c r="D14" s="27" t="s">
        <v>197</v>
      </c>
      <c r="E14" s="28" t="s">
        <v>195</v>
      </c>
      <c r="F14" s="29" t="s">
        <v>12</v>
      </c>
      <c r="G14" s="30">
        <v>1119000</v>
      </c>
      <c r="H14" s="29" t="s">
        <v>200</v>
      </c>
      <c r="I14" s="36">
        <f>SUM(G2:G6)</f>
        <v>9990000</v>
      </c>
    </row>
    <row r="15" spans="1:13" ht="28.8" x14ac:dyDescent="0.3">
      <c r="A15" s="17">
        <v>3</v>
      </c>
      <c r="B15" s="18">
        <v>2257</v>
      </c>
      <c r="C15" s="18">
        <v>1</v>
      </c>
      <c r="D15" s="18" t="s">
        <v>196</v>
      </c>
      <c r="E15" s="19" t="s">
        <v>198</v>
      </c>
      <c r="F15" s="20" t="s">
        <v>13</v>
      </c>
      <c r="G15" s="21">
        <v>3000000</v>
      </c>
      <c r="H15" s="20" t="s">
        <v>210</v>
      </c>
      <c r="I15" s="31"/>
    </row>
    <row r="16" spans="1:13" s="6" customFormat="1" ht="34.5" customHeight="1" x14ac:dyDescent="0.3">
      <c r="A16" s="23">
        <v>9</v>
      </c>
      <c r="B16" s="8">
        <v>1193</v>
      </c>
      <c r="C16" s="8">
        <v>2</v>
      </c>
      <c r="D16" s="8" t="s">
        <v>196</v>
      </c>
      <c r="E16" s="9" t="s">
        <v>198</v>
      </c>
      <c r="F16" s="10" t="s">
        <v>14</v>
      </c>
      <c r="G16" s="11">
        <v>3000000</v>
      </c>
      <c r="H16" s="10" t="s">
        <v>210</v>
      </c>
      <c r="I16" s="24"/>
    </row>
    <row r="17" spans="1:9" s="6" customFormat="1" ht="34.5" customHeight="1" x14ac:dyDescent="0.3">
      <c r="A17" s="23">
        <v>10</v>
      </c>
      <c r="B17" s="8">
        <v>979</v>
      </c>
      <c r="C17" s="8">
        <v>3</v>
      </c>
      <c r="D17" s="8" t="s">
        <v>196</v>
      </c>
      <c r="E17" s="9" t="s">
        <v>198</v>
      </c>
      <c r="F17" s="10" t="s">
        <v>15</v>
      </c>
      <c r="G17" s="11">
        <v>675000</v>
      </c>
      <c r="H17" s="10" t="s">
        <v>210</v>
      </c>
      <c r="I17" s="24"/>
    </row>
    <row r="18" spans="1:9" s="6" customFormat="1" ht="34.5" customHeight="1" x14ac:dyDescent="0.3">
      <c r="A18" s="23">
        <v>14</v>
      </c>
      <c r="B18" s="8">
        <v>767</v>
      </c>
      <c r="C18" s="8">
        <v>4</v>
      </c>
      <c r="D18" s="8" t="s">
        <v>196</v>
      </c>
      <c r="E18" s="9" t="s">
        <v>198</v>
      </c>
      <c r="F18" s="10" t="s">
        <v>16</v>
      </c>
      <c r="G18" s="11">
        <v>3000000</v>
      </c>
      <c r="H18" s="10" t="s">
        <v>210</v>
      </c>
      <c r="I18" s="24"/>
    </row>
    <row r="19" spans="1:9" s="6" customFormat="1" ht="34.5" customHeight="1" x14ac:dyDescent="0.3">
      <c r="A19" s="23">
        <v>16</v>
      </c>
      <c r="B19" s="8">
        <v>603</v>
      </c>
      <c r="C19" s="8">
        <v>5</v>
      </c>
      <c r="D19" s="8" t="s">
        <v>196</v>
      </c>
      <c r="E19" s="9" t="s">
        <v>198</v>
      </c>
      <c r="F19" s="10" t="s">
        <v>17</v>
      </c>
      <c r="G19" s="11">
        <v>370000</v>
      </c>
      <c r="H19" s="10" t="s">
        <v>210</v>
      </c>
      <c r="I19" s="24"/>
    </row>
    <row r="20" spans="1:9" s="6" customFormat="1" ht="34.5" customHeight="1" x14ac:dyDescent="0.3">
      <c r="A20" s="25">
        <v>7</v>
      </c>
      <c r="B20" s="3">
        <v>596</v>
      </c>
      <c r="C20" s="3">
        <v>6</v>
      </c>
      <c r="D20" s="3" t="s">
        <v>197</v>
      </c>
      <c r="E20" s="4" t="s">
        <v>198</v>
      </c>
      <c r="F20" s="5" t="s">
        <v>18</v>
      </c>
      <c r="G20" s="12">
        <v>3000000</v>
      </c>
      <c r="H20" s="5" t="s">
        <v>200</v>
      </c>
      <c r="I20" s="24"/>
    </row>
    <row r="21" spans="1:9" s="6" customFormat="1" ht="34.5" customHeight="1" x14ac:dyDescent="0.3">
      <c r="A21" s="25">
        <v>22</v>
      </c>
      <c r="B21" s="3">
        <v>501</v>
      </c>
      <c r="C21" s="3">
        <v>7</v>
      </c>
      <c r="D21" s="3" t="s">
        <v>197</v>
      </c>
      <c r="E21" s="4" t="s">
        <v>198</v>
      </c>
      <c r="F21" s="5" t="s">
        <v>5</v>
      </c>
      <c r="G21" s="12">
        <v>3000000</v>
      </c>
      <c r="H21" s="5" t="s">
        <v>200</v>
      </c>
      <c r="I21" s="24"/>
    </row>
    <row r="22" spans="1:9" s="6" customFormat="1" ht="34.5" customHeight="1" x14ac:dyDescent="0.3">
      <c r="A22" s="25">
        <v>12</v>
      </c>
      <c r="B22" s="3">
        <v>436</v>
      </c>
      <c r="C22" s="3">
        <v>8</v>
      </c>
      <c r="D22" s="3" t="s">
        <v>197</v>
      </c>
      <c r="E22" s="4" t="s">
        <v>198</v>
      </c>
      <c r="F22" s="5" t="s">
        <v>19</v>
      </c>
      <c r="G22" s="12">
        <v>3000000</v>
      </c>
      <c r="H22" s="5" t="s">
        <v>200</v>
      </c>
      <c r="I22" s="24"/>
    </row>
    <row r="23" spans="1:9" s="6" customFormat="1" ht="34.5" customHeight="1" x14ac:dyDescent="0.3">
      <c r="A23" s="23">
        <v>17</v>
      </c>
      <c r="B23" s="8">
        <v>375</v>
      </c>
      <c r="C23" s="8">
        <v>9</v>
      </c>
      <c r="D23" s="8" t="s">
        <v>196</v>
      </c>
      <c r="E23" s="9" t="s">
        <v>198</v>
      </c>
      <c r="F23" s="10" t="s">
        <v>20</v>
      </c>
      <c r="G23" s="11">
        <v>275000</v>
      </c>
      <c r="H23" s="10" t="s">
        <v>210</v>
      </c>
      <c r="I23" s="24"/>
    </row>
    <row r="24" spans="1:9" s="6" customFormat="1" ht="34.5" customHeight="1" x14ac:dyDescent="0.3">
      <c r="A24" s="23">
        <v>6</v>
      </c>
      <c r="B24" s="8">
        <v>375</v>
      </c>
      <c r="C24" s="8">
        <v>10</v>
      </c>
      <c r="D24" s="8" t="s">
        <v>196</v>
      </c>
      <c r="E24" s="9" t="s">
        <v>198</v>
      </c>
      <c r="F24" s="10" t="s">
        <v>21</v>
      </c>
      <c r="G24" s="11">
        <v>550000</v>
      </c>
      <c r="H24" s="10" t="s">
        <v>210</v>
      </c>
      <c r="I24" s="24"/>
    </row>
    <row r="25" spans="1:9" s="6" customFormat="1" ht="34.5" customHeight="1" x14ac:dyDescent="0.3">
      <c r="A25" s="25">
        <v>15</v>
      </c>
      <c r="B25" s="3">
        <v>315</v>
      </c>
      <c r="C25" s="3">
        <v>11</v>
      </c>
      <c r="D25" s="3" t="s">
        <v>197</v>
      </c>
      <c r="E25" s="4" t="s">
        <v>198</v>
      </c>
      <c r="F25" s="5" t="s">
        <v>22</v>
      </c>
      <c r="G25" s="12">
        <v>1660000</v>
      </c>
      <c r="H25" s="5" t="s">
        <v>200</v>
      </c>
      <c r="I25" s="24"/>
    </row>
    <row r="26" spans="1:9" s="6" customFormat="1" ht="34.5" customHeight="1" x14ac:dyDescent="0.3">
      <c r="A26" s="23">
        <v>4</v>
      </c>
      <c r="B26" s="8">
        <v>290</v>
      </c>
      <c r="C26" s="8">
        <v>12</v>
      </c>
      <c r="D26" s="8" t="s">
        <v>196</v>
      </c>
      <c r="E26" s="9" t="s">
        <v>198</v>
      </c>
      <c r="F26" s="10" t="s">
        <v>23</v>
      </c>
      <c r="G26" s="11">
        <v>320000</v>
      </c>
      <c r="H26" s="10" t="s">
        <v>210</v>
      </c>
      <c r="I26" s="24"/>
    </row>
    <row r="27" spans="1:9" s="6" customFormat="1" ht="34.5" customHeight="1" x14ac:dyDescent="0.3">
      <c r="A27" s="25">
        <v>5</v>
      </c>
      <c r="B27" s="3">
        <v>283</v>
      </c>
      <c r="C27" s="3">
        <v>13</v>
      </c>
      <c r="D27" s="3" t="s">
        <v>197</v>
      </c>
      <c r="E27" s="4" t="s">
        <v>198</v>
      </c>
      <c r="F27" s="5" t="s">
        <v>24</v>
      </c>
      <c r="G27" s="12">
        <v>2850000</v>
      </c>
      <c r="H27" s="5" t="s">
        <v>200</v>
      </c>
      <c r="I27" s="24"/>
    </row>
    <row r="28" spans="1:9" s="6" customFormat="1" ht="34.5" customHeight="1" x14ac:dyDescent="0.3">
      <c r="A28" s="25">
        <v>13</v>
      </c>
      <c r="B28" s="3">
        <v>271</v>
      </c>
      <c r="C28" s="3">
        <v>14</v>
      </c>
      <c r="D28" s="3" t="s">
        <v>197</v>
      </c>
      <c r="E28" s="4" t="s">
        <v>198</v>
      </c>
      <c r="F28" s="5" t="s">
        <v>25</v>
      </c>
      <c r="G28" s="12">
        <v>3000000</v>
      </c>
      <c r="H28" s="5" t="s">
        <v>200</v>
      </c>
      <c r="I28" s="24"/>
    </row>
    <row r="29" spans="1:9" s="6" customFormat="1" ht="34.5" customHeight="1" x14ac:dyDescent="0.3">
      <c r="A29" s="23">
        <v>11</v>
      </c>
      <c r="B29" s="8">
        <v>224</v>
      </c>
      <c r="C29" s="8">
        <v>15</v>
      </c>
      <c r="D29" s="8" t="s">
        <v>196</v>
      </c>
      <c r="E29" s="9" t="s">
        <v>198</v>
      </c>
      <c r="F29" s="10" t="s">
        <v>26</v>
      </c>
      <c r="G29" s="11">
        <v>483000</v>
      </c>
      <c r="H29" s="10" t="s">
        <v>210</v>
      </c>
      <c r="I29" s="24"/>
    </row>
    <row r="30" spans="1:9" s="6" customFormat="1" ht="34.5" customHeight="1" x14ac:dyDescent="0.3">
      <c r="A30" s="23">
        <v>18</v>
      </c>
      <c r="B30" s="8">
        <v>216</v>
      </c>
      <c r="C30" s="8">
        <v>16</v>
      </c>
      <c r="D30" s="8" t="s">
        <v>196</v>
      </c>
      <c r="E30" s="9" t="s">
        <v>198</v>
      </c>
      <c r="F30" s="10" t="s">
        <v>27</v>
      </c>
      <c r="G30" s="11">
        <v>260000</v>
      </c>
      <c r="H30" s="10" t="s">
        <v>210</v>
      </c>
      <c r="I30" s="24"/>
    </row>
    <row r="31" spans="1:9" s="6" customFormat="1" ht="34.5" customHeight="1" x14ac:dyDescent="0.3">
      <c r="A31" s="25">
        <v>2</v>
      </c>
      <c r="B31" s="3">
        <v>200</v>
      </c>
      <c r="C31" s="3">
        <v>17</v>
      </c>
      <c r="D31" s="3" t="s">
        <v>197</v>
      </c>
      <c r="E31" s="4" t="s">
        <v>198</v>
      </c>
      <c r="F31" s="5" t="s">
        <v>28</v>
      </c>
      <c r="G31" s="12">
        <v>3000000</v>
      </c>
      <c r="H31" s="5" t="s">
        <v>200</v>
      </c>
      <c r="I31" s="24"/>
    </row>
    <row r="32" spans="1:9" s="6" customFormat="1" ht="34.5" customHeight="1" x14ac:dyDescent="0.3">
      <c r="A32" s="25">
        <v>8</v>
      </c>
      <c r="B32" s="3">
        <v>193</v>
      </c>
      <c r="C32" s="3">
        <v>18</v>
      </c>
      <c r="D32" s="3" t="s">
        <v>197</v>
      </c>
      <c r="E32" s="4" t="s">
        <v>198</v>
      </c>
      <c r="F32" s="5" t="s">
        <v>29</v>
      </c>
      <c r="G32" s="12">
        <v>2055000</v>
      </c>
      <c r="H32" s="5" t="s">
        <v>200</v>
      </c>
      <c r="I32" s="24"/>
    </row>
    <row r="33" spans="1:9" s="6" customFormat="1" ht="34.5" customHeight="1" x14ac:dyDescent="0.3">
      <c r="A33" s="23">
        <v>1</v>
      </c>
      <c r="B33" s="8">
        <v>192</v>
      </c>
      <c r="C33" s="8">
        <v>19</v>
      </c>
      <c r="D33" s="8" t="s">
        <v>196</v>
      </c>
      <c r="E33" s="9" t="s">
        <v>198</v>
      </c>
      <c r="F33" s="10" t="s">
        <v>30</v>
      </c>
      <c r="G33" s="11">
        <v>175000</v>
      </c>
      <c r="H33" s="10" t="s">
        <v>210</v>
      </c>
      <c r="I33" s="24"/>
    </row>
    <row r="34" spans="1:9" s="6" customFormat="1" ht="34.5" customHeight="1" x14ac:dyDescent="0.3">
      <c r="A34" s="25">
        <v>24</v>
      </c>
      <c r="B34" s="3">
        <v>154</v>
      </c>
      <c r="C34" s="3">
        <v>20</v>
      </c>
      <c r="D34" s="3" t="s">
        <v>197</v>
      </c>
      <c r="E34" s="4" t="s">
        <v>198</v>
      </c>
      <c r="F34" s="5" t="s">
        <v>31</v>
      </c>
      <c r="G34" s="12">
        <v>1239000</v>
      </c>
      <c r="H34" s="5" t="s">
        <v>200</v>
      </c>
      <c r="I34" s="24"/>
    </row>
    <row r="35" spans="1:9" s="6" customFormat="1" ht="34.5" customHeight="1" x14ac:dyDescent="0.3">
      <c r="A35" s="25">
        <v>20</v>
      </c>
      <c r="B35" s="3">
        <v>153</v>
      </c>
      <c r="C35" s="3">
        <v>21</v>
      </c>
      <c r="D35" s="3" t="s">
        <v>197</v>
      </c>
      <c r="E35" s="4" t="s">
        <v>198</v>
      </c>
      <c r="F35" s="5" t="s">
        <v>32</v>
      </c>
      <c r="G35" s="12">
        <v>2392500</v>
      </c>
      <c r="H35" s="5" t="s">
        <v>200</v>
      </c>
      <c r="I35" s="24"/>
    </row>
    <row r="36" spans="1:9" s="6" customFormat="1" ht="34.5" customHeight="1" x14ac:dyDescent="0.3">
      <c r="A36" s="25">
        <v>23</v>
      </c>
      <c r="B36" s="3">
        <v>84</v>
      </c>
      <c r="C36" s="3">
        <v>22</v>
      </c>
      <c r="D36" s="3" t="s">
        <v>197</v>
      </c>
      <c r="E36" s="4" t="s">
        <v>198</v>
      </c>
      <c r="F36" s="5" t="s">
        <v>33</v>
      </c>
      <c r="G36" s="12">
        <v>706622</v>
      </c>
      <c r="H36" s="5" t="s">
        <v>200</v>
      </c>
      <c r="I36" s="24"/>
    </row>
    <row r="37" spans="1:9" s="6" customFormat="1" ht="34.5" customHeight="1" x14ac:dyDescent="0.3">
      <c r="A37" s="25">
        <v>19</v>
      </c>
      <c r="B37" s="3">
        <v>71</v>
      </c>
      <c r="C37" s="3">
        <v>23</v>
      </c>
      <c r="D37" s="3" t="s">
        <v>197</v>
      </c>
      <c r="E37" s="4" t="s">
        <v>198</v>
      </c>
      <c r="F37" s="5" t="s">
        <v>34</v>
      </c>
      <c r="G37" s="12">
        <v>3000000</v>
      </c>
      <c r="H37" s="5" t="s">
        <v>200</v>
      </c>
      <c r="I37" s="24"/>
    </row>
    <row r="38" spans="1:9" s="6" customFormat="1" ht="34.5" customHeight="1" thickBot="1" x14ac:dyDescent="0.35">
      <c r="A38" s="26">
        <v>21</v>
      </c>
      <c r="B38" s="27">
        <v>52</v>
      </c>
      <c r="C38" s="27">
        <v>24</v>
      </c>
      <c r="D38" s="27" t="s">
        <v>197</v>
      </c>
      <c r="E38" s="28" t="s">
        <v>198</v>
      </c>
      <c r="F38" s="29" t="s">
        <v>35</v>
      </c>
      <c r="G38" s="30">
        <v>43400</v>
      </c>
      <c r="H38" s="29" t="s">
        <v>200</v>
      </c>
      <c r="I38" s="32">
        <f>SUM(G33,G30,G29,G26,G24,G23,G15,G16,G17,G18,G19)</f>
        <v>12108000</v>
      </c>
    </row>
    <row r="39" spans="1:9" ht="28.8" x14ac:dyDescent="0.3">
      <c r="A39" s="17">
        <v>9</v>
      </c>
      <c r="B39" s="18">
        <v>1032</v>
      </c>
      <c r="C39" s="18">
        <v>1</v>
      </c>
      <c r="D39" s="18" t="s">
        <v>196</v>
      </c>
      <c r="E39" s="19" t="s">
        <v>201</v>
      </c>
      <c r="F39" s="20" t="s">
        <v>36</v>
      </c>
      <c r="G39" s="21">
        <v>3000000</v>
      </c>
      <c r="H39" s="20" t="s">
        <v>210</v>
      </c>
      <c r="I39" s="31"/>
    </row>
    <row r="40" spans="1:9" ht="29.25" customHeight="1" x14ac:dyDescent="0.3">
      <c r="A40" s="23">
        <v>34</v>
      </c>
      <c r="B40" s="8">
        <v>842</v>
      </c>
      <c r="C40" s="8">
        <v>2</v>
      </c>
      <c r="D40" s="8" t="s">
        <v>196</v>
      </c>
      <c r="E40" s="9" t="s">
        <v>201</v>
      </c>
      <c r="F40" s="10" t="s">
        <v>37</v>
      </c>
      <c r="G40" s="11">
        <v>3000000</v>
      </c>
      <c r="H40" s="10" t="s">
        <v>210</v>
      </c>
      <c r="I40" s="33"/>
    </row>
    <row r="41" spans="1:9" ht="28.8" x14ac:dyDescent="0.3">
      <c r="A41" s="23">
        <v>1</v>
      </c>
      <c r="B41" s="8">
        <v>841</v>
      </c>
      <c r="C41" s="8">
        <v>3</v>
      </c>
      <c r="D41" s="8" t="s">
        <v>196</v>
      </c>
      <c r="E41" s="9" t="s">
        <v>201</v>
      </c>
      <c r="F41" s="10" t="s">
        <v>38</v>
      </c>
      <c r="G41" s="11">
        <v>3000000</v>
      </c>
      <c r="H41" s="10" t="s">
        <v>210</v>
      </c>
      <c r="I41" s="33"/>
    </row>
    <row r="42" spans="1:9" ht="27.75" customHeight="1" x14ac:dyDescent="0.3">
      <c r="A42" s="23">
        <v>6</v>
      </c>
      <c r="B42" s="8">
        <v>708</v>
      </c>
      <c r="C42" s="8">
        <v>4</v>
      </c>
      <c r="D42" s="8" t="s">
        <v>196</v>
      </c>
      <c r="E42" s="9" t="s">
        <v>201</v>
      </c>
      <c r="F42" s="10" t="s">
        <v>39</v>
      </c>
      <c r="G42" s="11">
        <v>3000000</v>
      </c>
      <c r="H42" s="10" t="s">
        <v>210</v>
      </c>
      <c r="I42" s="33"/>
    </row>
    <row r="43" spans="1:9" ht="28.8" x14ac:dyDescent="0.3">
      <c r="A43" s="25">
        <v>19</v>
      </c>
      <c r="B43" s="3">
        <v>576</v>
      </c>
      <c r="C43" s="3">
        <v>5</v>
      </c>
      <c r="D43" s="3" t="s">
        <v>197</v>
      </c>
      <c r="E43" s="4" t="s">
        <v>201</v>
      </c>
      <c r="F43" s="5" t="s">
        <v>40</v>
      </c>
      <c r="G43" s="15">
        <v>287000</v>
      </c>
      <c r="H43" s="5" t="s">
        <v>200</v>
      </c>
      <c r="I43" s="33"/>
    </row>
    <row r="44" spans="1:9" ht="28.8" x14ac:dyDescent="0.3">
      <c r="A44" s="25">
        <v>14</v>
      </c>
      <c r="B44" s="3">
        <v>513</v>
      </c>
      <c r="C44" s="3">
        <v>6</v>
      </c>
      <c r="D44" s="3" t="s">
        <v>197</v>
      </c>
      <c r="E44" s="4" t="s">
        <v>201</v>
      </c>
      <c r="F44" s="5" t="s">
        <v>41</v>
      </c>
      <c r="G44" s="12">
        <v>1560000</v>
      </c>
      <c r="H44" s="5" t="s">
        <v>200</v>
      </c>
      <c r="I44" s="33"/>
    </row>
    <row r="45" spans="1:9" ht="28.8" x14ac:dyDescent="0.3">
      <c r="A45" s="25">
        <v>11</v>
      </c>
      <c r="B45" s="3">
        <v>476</v>
      </c>
      <c r="C45" s="3">
        <v>7</v>
      </c>
      <c r="D45" s="3" t="s">
        <v>197</v>
      </c>
      <c r="E45" s="4" t="s">
        <v>201</v>
      </c>
      <c r="F45" s="5" t="s">
        <v>42</v>
      </c>
      <c r="G45" s="12">
        <v>3000000</v>
      </c>
      <c r="H45" s="5" t="s">
        <v>200</v>
      </c>
      <c r="I45" s="33"/>
    </row>
    <row r="46" spans="1:9" ht="28.8" x14ac:dyDescent="0.3">
      <c r="A46" s="25">
        <v>32</v>
      </c>
      <c r="B46" s="3">
        <v>448</v>
      </c>
      <c r="C46" s="3">
        <v>8</v>
      </c>
      <c r="D46" s="3" t="s">
        <v>197</v>
      </c>
      <c r="E46" s="4" t="s">
        <v>201</v>
      </c>
      <c r="F46" s="5" t="s">
        <v>43</v>
      </c>
      <c r="G46" s="12">
        <v>520000</v>
      </c>
      <c r="H46" s="5" t="s">
        <v>200</v>
      </c>
      <c r="I46" s="33"/>
    </row>
    <row r="47" spans="1:9" ht="25.5" customHeight="1" x14ac:dyDescent="0.3">
      <c r="A47" s="25">
        <v>28</v>
      </c>
      <c r="B47" s="3">
        <v>422</v>
      </c>
      <c r="C47" s="3">
        <v>9</v>
      </c>
      <c r="D47" s="3" t="s">
        <v>197</v>
      </c>
      <c r="E47" s="4" t="s">
        <v>201</v>
      </c>
      <c r="F47" s="5" t="s">
        <v>5</v>
      </c>
      <c r="G47" s="12">
        <v>3000000</v>
      </c>
      <c r="H47" s="5" t="s">
        <v>200</v>
      </c>
      <c r="I47" s="33"/>
    </row>
    <row r="48" spans="1:9" ht="28.8" x14ac:dyDescent="0.3">
      <c r="A48" s="25">
        <v>16</v>
      </c>
      <c r="B48" s="3">
        <v>372</v>
      </c>
      <c r="C48" s="3">
        <v>10</v>
      </c>
      <c r="D48" s="3" t="s">
        <v>197</v>
      </c>
      <c r="E48" s="4" t="s">
        <v>201</v>
      </c>
      <c r="F48" s="5" t="s">
        <v>44</v>
      </c>
      <c r="G48" s="12">
        <v>637000</v>
      </c>
      <c r="H48" s="5" t="s">
        <v>200</v>
      </c>
      <c r="I48" s="33"/>
    </row>
    <row r="49" spans="1:9" ht="28.8" x14ac:dyDescent="0.3">
      <c r="A49" s="25">
        <v>21</v>
      </c>
      <c r="B49" s="3">
        <v>349</v>
      </c>
      <c r="C49" s="3">
        <v>11</v>
      </c>
      <c r="D49" s="3" t="s">
        <v>197</v>
      </c>
      <c r="E49" s="4" t="s">
        <v>201</v>
      </c>
      <c r="F49" s="5" t="s">
        <v>45</v>
      </c>
      <c r="G49" s="12">
        <v>3000000</v>
      </c>
      <c r="H49" s="5" t="s">
        <v>200</v>
      </c>
      <c r="I49" s="33"/>
    </row>
    <row r="50" spans="1:9" ht="28.8" x14ac:dyDescent="0.3">
      <c r="A50" s="25">
        <v>12</v>
      </c>
      <c r="B50" s="3">
        <v>335</v>
      </c>
      <c r="C50" s="3">
        <v>12</v>
      </c>
      <c r="D50" s="3" t="s">
        <v>197</v>
      </c>
      <c r="E50" s="4" t="s">
        <v>201</v>
      </c>
      <c r="F50" s="5" t="s">
        <v>46</v>
      </c>
      <c r="G50" s="12">
        <v>3000000</v>
      </c>
      <c r="H50" s="5" t="s">
        <v>200</v>
      </c>
      <c r="I50" s="33"/>
    </row>
    <row r="51" spans="1:9" ht="28.8" x14ac:dyDescent="0.3">
      <c r="A51" s="25">
        <v>31</v>
      </c>
      <c r="B51" s="3">
        <v>300</v>
      </c>
      <c r="C51" s="3">
        <v>13</v>
      </c>
      <c r="D51" s="3" t="s">
        <v>197</v>
      </c>
      <c r="E51" s="4" t="s">
        <v>201</v>
      </c>
      <c r="F51" s="5" t="s">
        <v>47</v>
      </c>
      <c r="G51" s="12">
        <v>3000000</v>
      </c>
      <c r="H51" s="5" t="s">
        <v>200</v>
      </c>
      <c r="I51" s="33"/>
    </row>
    <row r="52" spans="1:9" ht="28.8" x14ac:dyDescent="0.3">
      <c r="A52" s="25">
        <v>15</v>
      </c>
      <c r="B52" s="3">
        <v>286</v>
      </c>
      <c r="C52" s="3">
        <v>14</v>
      </c>
      <c r="D52" s="3" t="s">
        <v>197</v>
      </c>
      <c r="E52" s="4" t="s">
        <v>201</v>
      </c>
      <c r="F52" s="5" t="s">
        <v>48</v>
      </c>
      <c r="G52" s="12">
        <v>3000000</v>
      </c>
      <c r="H52" s="5" t="s">
        <v>200</v>
      </c>
      <c r="I52" s="33"/>
    </row>
    <row r="53" spans="1:9" ht="24" customHeight="1" x14ac:dyDescent="0.3">
      <c r="A53" s="25">
        <v>10</v>
      </c>
      <c r="B53" s="3">
        <v>282</v>
      </c>
      <c r="C53" s="3">
        <v>15</v>
      </c>
      <c r="D53" s="3" t="s">
        <v>197</v>
      </c>
      <c r="E53" s="4" t="s">
        <v>201</v>
      </c>
      <c r="F53" s="5" t="s">
        <v>49</v>
      </c>
      <c r="G53" s="12">
        <v>3000000</v>
      </c>
      <c r="H53" s="5" t="s">
        <v>200</v>
      </c>
      <c r="I53" s="33"/>
    </row>
    <row r="54" spans="1:9" ht="24" customHeight="1" x14ac:dyDescent="0.3">
      <c r="A54" s="25">
        <v>2</v>
      </c>
      <c r="B54" s="3">
        <v>273</v>
      </c>
      <c r="C54" s="3">
        <v>16</v>
      </c>
      <c r="D54" s="3" t="s">
        <v>197</v>
      </c>
      <c r="E54" s="4" t="s">
        <v>201</v>
      </c>
      <c r="F54" s="5" t="s">
        <v>50</v>
      </c>
      <c r="G54" s="12">
        <v>1590000</v>
      </c>
      <c r="H54" s="5" t="s">
        <v>200</v>
      </c>
      <c r="I54" s="33"/>
    </row>
    <row r="55" spans="1:9" ht="24" customHeight="1" x14ac:dyDescent="0.3">
      <c r="A55" s="25">
        <v>30</v>
      </c>
      <c r="B55" s="3">
        <v>264</v>
      </c>
      <c r="C55" s="3">
        <v>17</v>
      </c>
      <c r="D55" s="3" t="s">
        <v>197</v>
      </c>
      <c r="E55" s="4" t="s">
        <v>201</v>
      </c>
      <c r="F55" s="5" t="s">
        <v>51</v>
      </c>
      <c r="G55" s="12">
        <v>1535000</v>
      </c>
      <c r="H55" s="5" t="s">
        <v>200</v>
      </c>
      <c r="I55" s="33"/>
    </row>
    <row r="56" spans="1:9" ht="28.8" x14ac:dyDescent="0.3">
      <c r="A56" s="25">
        <v>20</v>
      </c>
      <c r="B56" s="3">
        <v>263</v>
      </c>
      <c r="C56" s="3">
        <v>18</v>
      </c>
      <c r="D56" s="3" t="s">
        <v>197</v>
      </c>
      <c r="E56" s="4" t="s">
        <v>201</v>
      </c>
      <c r="F56" s="5" t="s">
        <v>52</v>
      </c>
      <c r="G56" s="12">
        <v>486000</v>
      </c>
      <c r="H56" s="5" t="s">
        <v>200</v>
      </c>
      <c r="I56" s="33"/>
    </row>
    <row r="57" spans="1:9" ht="28.8" x14ac:dyDescent="0.3">
      <c r="A57" s="25">
        <v>18</v>
      </c>
      <c r="B57" s="3">
        <v>256</v>
      </c>
      <c r="C57" s="3">
        <v>19</v>
      </c>
      <c r="D57" s="3" t="s">
        <v>197</v>
      </c>
      <c r="E57" s="4" t="s">
        <v>201</v>
      </c>
      <c r="F57" s="5" t="s">
        <v>53</v>
      </c>
      <c r="G57" s="12">
        <v>678000</v>
      </c>
      <c r="H57" s="5" t="s">
        <v>200</v>
      </c>
      <c r="I57" s="33"/>
    </row>
    <row r="58" spans="1:9" ht="28.8" x14ac:dyDescent="0.3">
      <c r="A58" s="25">
        <v>33</v>
      </c>
      <c r="B58" s="3">
        <v>229</v>
      </c>
      <c r="C58" s="3">
        <v>20</v>
      </c>
      <c r="D58" s="3" t="s">
        <v>197</v>
      </c>
      <c r="E58" s="4" t="s">
        <v>201</v>
      </c>
      <c r="F58" s="5" t="s">
        <v>54</v>
      </c>
      <c r="G58" s="12">
        <v>1300000</v>
      </c>
      <c r="H58" s="5" t="s">
        <v>200</v>
      </c>
      <c r="I58" s="33"/>
    </row>
    <row r="59" spans="1:9" ht="28.8" x14ac:dyDescent="0.3">
      <c r="A59" s="25">
        <v>17</v>
      </c>
      <c r="B59" s="3">
        <v>180</v>
      </c>
      <c r="C59" s="3">
        <v>21</v>
      </c>
      <c r="D59" s="3" t="s">
        <v>197</v>
      </c>
      <c r="E59" s="4" t="s">
        <v>201</v>
      </c>
      <c r="F59" s="5" t="s">
        <v>55</v>
      </c>
      <c r="G59" s="12">
        <v>395000</v>
      </c>
      <c r="H59" s="5" t="s">
        <v>200</v>
      </c>
      <c r="I59" s="33"/>
    </row>
    <row r="60" spans="1:9" ht="26.25" customHeight="1" x14ac:dyDescent="0.3">
      <c r="A60" s="25">
        <v>24</v>
      </c>
      <c r="B60" s="3">
        <v>157</v>
      </c>
      <c r="C60" s="3">
        <v>22</v>
      </c>
      <c r="D60" s="3" t="s">
        <v>197</v>
      </c>
      <c r="E60" s="4" t="s">
        <v>201</v>
      </c>
      <c r="F60" s="5" t="s">
        <v>32</v>
      </c>
      <c r="G60" s="12">
        <v>2536050</v>
      </c>
      <c r="H60" s="5" t="s">
        <v>200</v>
      </c>
      <c r="I60" s="33"/>
    </row>
    <row r="61" spans="1:9" ht="28.8" x14ac:dyDescent="0.3">
      <c r="A61" s="25">
        <v>8</v>
      </c>
      <c r="B61" s="3">
        <v>155</v>
      </c>
      <c r="C61" s="3">
        <v>23</v>
      </c>
      <c r="D61" s="3" t="s">
        <v>197</v>
      </c>
      <c r="E61" s="4" t="s">
        <v>201</v>
      </c>
      <c r="F61" s="5" t="s">
        <v>56</v>
      </c>
      <c r="G61" s="12">
        <v>1095000</v>
      </c>
      <c r="H61" s="5" t="s">
        <v>200</v>
      </c>
      <c r="I61" s="33"/>
    </row>
    <row r="62" spans="1:9" ht="28.8" x14ac:dyDescent="0.3">
      <c r="A62" s="25">
        <v>4</v>
      </c>
      <c r="B62" s="3">
        <v>112</v>
      </c>
      <c r="C62" s="3">
        <v>24</v>
      </c>
      <c r="D62" s="3" t="s">
        <v>197</v>
      </c>
      <c r="E62" s="4" t="s">
        <v>201</v>
      </c>
      <c r="F62" s="5" t="s">
        <v>57</v>
      </c>
      <c r="G62" s="12">
        <v>540000</v>
      </c>
      <c r="H62" s="5" t="s">
        <v>200</v>
      </c>
      <c r="I62" s="33"/>
    </row>
    <row r="63" spans="1:9" ht="27" customHeight="1" x14ac:dyDescent="0.3">
      <c r="A63" s="25">
        <v>5</v>
      </c>
      <c r="B63" s="3">
        <v>106</v>
      </c>
      <c r="C63" s="3">
        <v>25</v>
      </c>
      <c r="D63" s="3" t="s">
        <v>197</v>
      </c>
      <c r="E63" s="4" t="s">
        <v>201</v>
      </c>
      <c r="F63" s="5" t="s">
        <v>58</v>
      </c>
      <c r="G63" s="12">
        <v>1522500</v>
      </c>
      <c r="H63" s="5" t="s">
        <v>200</v>
      </c>
      <c r="I63" s="33"/>
    </row>
    <row r="64" spans="1:9" ht="27" customHeight="1" x14ac:dyDescent="0.3">
      <c r="A64" s="25">
        <v>13</v>
      </c>
      <c r="B64" s="3">
        <v>101</v>
      </c>
      <c r="C64" s="3">
        <v>26</v>
      </c>
      <c r="D64" s="3" t="s">
        <v>197</v>
      </c>
      <c r="E64" s="4" t="s">
        <v>201</v>
      </c>
      <c r="F64" s="5" t="s">
        <v>59</v>
      </c>
      <c r="G64" s="12">
        <v>200000</v>
      </c>
      <c r="H64" s="5" t="s">
        <v>200</v>
      </c>
      <c r="I64" s="33"/>
    </row>
    <row r="65" spans="1:9" ht="28.8" x14ac:dyDescent="0.3">
      <c r="A65" s="25">
        <v>26</v>
      </c>
      <c r="B65" s="3">
        <v>99</v>
      </c>
      <c r="C65" s="3">
        <v>27</v>
      </c>
      <c r="D65" s="3" t="s">
        <v>197</v>
      </c>
      <c r="E65" s="4" t="s">
        <v>201</v>
      </c>
      <c r="F65" s="5" t="s">
        <v>60</v>
      </c>
      <c r="G65" s="12">
        <v>3000000</v>
      </c>
      <c r="H65" s="5" t="s">
        <v>200</v>
      </c>
      <c r="I65" s="33"/>
    </row>
    <row r="66" spans="1:9" ht="24" customHeight="1" x14ac:dyDescent="0.3">
      <c r="A66" s="25">
        <v>3</v>
      </c>
      <c r="B66" s="3">
        <v>93</v>
      </c>
      <c r="C66" s="3">
        <v>28</v>
      </c>
      <c r="D66" s="3" t="s">
        <v>197</v>
      </c>
      <c r="E66" s="4" t="s">
        <v>201</v>
      </c>
      <c r="F66" s="5" t="s">
        <v>61</v>
      </c>
      <c r="G66" s="12">
        <v>298000</v>
      </c>
      <c r="H66" s="5" t="s">
        <v>200</v>
      </c>
      <c r="I66" s="33"/>
    </row>
    <row r="67" spans="1:9" ht="28.8" x14ac:dyDescent="0.3">
      <c r="A67" s="23">
        <v>27</v>
      </c>
      <c r="B67" s="8">
        <v>87</v>
      </c>
      <c r="C67" s="8">
        <v>29</v>
      </c>
      <c r="D67" s="8" t="s">
        <v>196</v>
      </c>
      <c r="E67" s="9" t="s">
        <v>201</v>
      </c>
      <c r="F67" s="10" t="s">
        <v>62</v>
      </c>
      <c r="G67" s="11">
        <v>120000</v>
      </c>
      <c r="H67" s="10" t="s">
        <v>210</v>
      </c>
      <c r="I67" s="33"/>
    </row>
    <row r="68" spans="1:9" ht="28.5" customHeight="1" x14ac:dyDescent="0.3">
      <c r="A68" s="25">
        <v>22</v>
      </c>
      <c r="B68" s="3">
        <v>78</v>
      </c>
      <c r="C68" s="3">
        <v>30</v>
      </c>
      <c r="D68" s="3" t="s">
        <v>197</v>
      </c>
      <c r="E68" s="4" t="s">
        <v>201</v>
      </c>
      <c r="F68" s="5" t="s">
        <v>63</v>
      </c>
      <c r="G68" s="12">
        <v>3000000</v>
      </c>
      <c r="H68" s="5" t="s">
        <v>200</v>
      </c>
      <c r="I68" s="33"/>
    </row>
    <row r="69" spans="1:9" ht="28.5" customHeight="1" x14ac:dyDescent="0.3">
      <c r="A69" s="25">
        <v>29</v>
      </c>
      <c r="B69" s="3">
        <v>55</v>
      </c>
      <c r="C69" s="3">
        <v>31</v>
      </c>
      <c r="D69" s="3" t="s">
        <v>197</v>
      </c>
      <c r="E69" s="4" t="s">
        <v>201</v>
      </c>
      <c r="F69" s="5" t="s">
        <v>64</v>
      </c>
      <c r="G69" s="12">
        <v>2137856</v>
      </c>
      <c r="H69" s="5" t="s">
        <v>200</v>
      </c>
      <c r="I69" s="33"/>
    </row>
    <row r="70" spans="1:9" ht="28.8" x14ac:dyDescent="0.3">
      <c r="A70" s="25">
        <v>7</v>
      </c>
      <c r="B70" s="3">
        <v>52</v>
      </c>
      <c r="C70" s="3">
        <v>32</v>
      </c>
      <c r="D70" s="3" t="s">
        <v>197</v>
      </c>
      <c r="E70" s="4" t="s">
        <v>201</v>
      </c>
      <c r="F70" s="5" t="s">
        <v>65</v>
      </c>
      <c r="G70" s="12">
        <v>389000</v>
      </c>
      <c r="H70" s="5" t="s">
        <v>200</v>
      </c>
      <c r="I70" s="33"/>
    </row>
    <row r="71" spans="1:9" ht="28.8" x14ac:dyDescent="0.3">
      <c r="A71" s="25">
        <v>23</v>
      </c>
      <c r="B71" s="3">
        <v>47</v>
      </c>
      <c r="C71" s="3">
        <v>33</v>
      </c>
      <c r="D71" s="3" t="s">
        <v>197</v>
      </c>
      <c r="E71" s="4" t="s">
        <v>201</v>
      </c>
      <c r="F71" s="5" t="s">
        <v>66</v>
      </c>
      <c r="G71" s="12">
        <v>1050000</v>
      </c>
      <c r="H71" s="5" t="s">
        <v>200</v>
      </c>
      <c r="I71" s="33"/>
    </row>
    <row r="72" spans="1:9" ht="29.4" thickBot="1" x14ac:dyDescent="0.35">
      <c r="A72" s="26">
        <v>25</v>
      </c>
      <c r="B72" s="27">
        <v>43</v>
      </c>
      <c r="C72" s="27">
        <v>34</v>
      </c>
      <c r="D72" s="27" t="s">
        <v>197</v>
      </c>
      <c r="E72" s="28" t="s">
        <v>201</v>
      </c>
      <c r="F72" s="29" t="s">
        <v>67</v>
      </c>
      <c r="G72" s="30">
        <v>303800</v>
      </c>
      <c r="H72" s="29" t="s">
        <v>200</v>
      </c>
      <c r="I72" s="32">
        <f>SUM(G67,G42,G41,G40,G39)</f>
        <v>12120000</v>
      </c>
    </row>
    <row r="73" spans="1:9" ht="33.75" customHeight="1" x14ac:dyDescent="0.3">
      <c r="A73" s="17">
        <v>3</v>
      </c>
      <c r="B73" s="18">
        <v>2223</v>
      </c>
      <c r="C73" s="18">
        <v>1</v>
      </c>
      <c r="D73" s="18" t="s">
        <v>196</v>
      </c>
      <c r="E73" s="19" t="s">
        <v>202</v>
      </c>
      <c r="F73" s="20" t="s">
        <v>68</v>
      </c>
      <c r="G73" s="21">
        <v>3000000</v>
      </c>
      <c r="H73" s="20" t="s">
        <v>210</v>
      </c>
      <c r="I73" s="31"/>
    </row>
    <row r="74" spans="1:9" ht="33.75" customHeight="1" x14ac:dyDescent="0.3">
      <c r="A74" s="23">
        <v>39</v>
      </c>
      <c r="B74" s="8">
        <v>1376</v>
      </c>
      <c r="C74" s="8">
        <v>2</v>
      </c>
      <c r="D74" s="8" t="s">
        <v>196</v>
      </c>
      <c r="E74" s="9" t="s">
        <v>202</v>
      </c>
      <c r="F74" s="10" t="s">
        <v>69</v>
      </c>
      <c r="G74" s="11">
        <v>3000000</v>
      </c>
      <c r="H74" s="10" t="s">
        <v>210</v>
      </c>
      <c r="I74" s="33"/>
    </row>
    <row r="75" spans="1:9" ht="33.75" customHeight="1" x14ac:dyDescent="0.3">
      <c r="A75" s="23">
        <v>24</v>
      </c>
      <c r="B75" s="8">
        <v>1233</v>
      </c>
      <c r="C75" s="8">
        <v>3</v>
      </c>
      <c r="D75" s="8" t="s">
        <v>196</v>
      </c>
      <c r="E75" s="9" t="s">
        <v>202</v>
      </c>
      <c r="F75" s="10" t="s">
        <v>70</v>
      </c>
      <c r="G75" s="11">
        <v>3000000</v>
      </c>
      <c r="H75" s="10" t="s">
        <v>210</v>
      </c>
      <c r="I75" s="33"/>
    </row>
    <row r="76" spans="1:9" ht="33.75" customHeight="1" x14ac:dyDescent="0.3">
      <c r="A76" s="23">
        <v>37</v>
      </c>
      <c r="B76" s="8">
        <v>1057</v>
      </c>
      <c r="C76" s="8">
        <v>4</v>
      </c>
      <c r="D76" s="8" t="s">
        <v>196</v>
      </c>
      <c r="E76" s="9" t="s">
        <v>202</v>
      </c>
      <c r="F76" s="10" t="s">
        <v>5</v>
      </c>
      <c r="G76" s="11">
        <v>3000000</v>
      </c>
      <c r="H76" s="10" t="s">
        <v>210</v>
      </c>
      <c r="I76" s="33"/>
    </row>
    <row r="77" spans="1:9" ht="28.8" x14ac:dyDescent="0.3">
      <c r="A77" s="25">
        <v>14</v>
      </c>
      <c r="B77" s="3">
        <v>982</v>
      </c>
      <c r="C77" s="3">
        <v>5</v>
      </c>
      <c r="D77" s="3" t="s">
        <v>197</v>
      </c>
      <c r="E77" s="4" t="s">
        <v>202</v>
      </c>
      <c r="F77" s="5" t="s">
        <v>71</v>
      </c>
      <c r="G77" s="15">
        <v>3000000</v>
      </c>
      <c r="H77" s="5" t="s">
        <v>200</v>
      </c>
      <c r="I77" s="33"/>
    </row>
    <row r="78" spans="1:9" ht="34.5" customHeight="1" x14ac:dyDescent="0.3">
      <c r="A78" s="23">
        <v>26</v>
      </c>
      <c r="B78" s="8">
        <v>937</v>
      </c>
      <c r="C78" s="8">
        <v>6</v>
      </c>
      <c r="D78" s="8" t="s">
        <v>196</v>
      </c>
      <c r="E78" s="9" t="s">
        <v>202</v>
      </c>
      <c r="F78" s="10" t="s">
        <v>72</v>
      </c>
      <c r="G78" s="11">
        <v>531000</v>
      </c>
      <c r="H78" s="10" t="s">
        <v>210</v>
      </c>
      <c r="I78" s="33"/>
    </row>
    <row r="79" spans="1:9" ht="33" customHeight="1" x14ac:dyDescent="0.3">
      <c r="A79" s="25">
        <v>18</v>
      </c>
      <c r="B79" s="3">
        <v>885</v>
      </c>
      <c r="C79" s="3">
        <v>7</v>
      </c>
      <c r="D79" s="3" t="s">
        <v>197</v>
      </c>
      <c r="E79" s="4" t="s">
        <v>202</v>
      </c>
      <c r="F79" s="5" t="s">
        <v>73</v>
      </c>
      <c r="G79" s="15">
        <v>3000000</v>
      </c>
      <c r="H79" s="5" t="s">
        <v>200</v>
      </c>
      <c r="I79" s="33"/>
    </row>
    <row r="80" spans="1:9" ht="33" customHeight="1" x14ac:dyDescent="0.3">
      <c r="A80" s="23">
        <v>15</v>
      </c>
      <c r="B80" s="8">
        <v>867</v>
      </c>
      <c r="C80" s="8">
        <v>8</v>
      </c>
      <c r="D80" s="8" t="s">
        <v>196</v>
      </c>
      <c r="E80" s="9" t="s">
        <v>202</v>
      </c>
      <c r="F80" s="10" t="s">
        <v>74</v>
      </c>
      <c r="G80" s="11">
        <v>1000000</v>
      </c>
      <c r="H80" s="10" t="s">
        <v>210</v>
      </c>
      <c r="I80" s="33"/>
    </row>
    <row r="81" spans="1:9" ht="28.8" x14ac:dyDescent="0.3">
      <c r="A81" s="25">
        <v>19</v>
      </c>
      <c r="B81" s="3">
        <v>853</v>
      </c>
      <c r="C81" s="3">
        <v>9</v>
      </c>
      <c r="D81" s="3" t="s">
        <v>197</v>
      </c>
      <c r="E81" s="4" t="s">
        <v>202</v>
      </c>
      <c r="F81" s="5" t="s">
        <v>75</v>
      </c>
      <c r="G81" s="12">
        <v>3000000</v>
      </c>
      <c r="H81" s="5" t="s">
        <v>200</v>
      </c>
      <c r="I81" s="33"/>
    </row>
    <row r="82" spans="1:9" ht="43.2" x14ac:dyDescent="0.3">
      <c r="A82" s="25">
        <v>17</v>
      </c>
      <c r="B82" s="3">
        <v>814</v>
      </c>
      <c r="C82" s="3">
        <v>10</v>
      </c>
      <c r="D82" s="3" t="s">
        <v>197</v>
      </c>
      <c r="E82" s="4" t="s">
        <v>202</v>
      </c>
      <c r="F82" s="5" t="s">
        <v>76</v>
      </c>
      <c r="G82" s="12">
        <v>3000000</v>
      </c>
      <c r="H82" s="5" t="s">
        <v>200</v>
      </c>
      <c r="I82" s="33"/>
    </row>
    <row r="83" spans="1:9" ht="28.8" x14ac:dyDescent="0.3">
      <c r="A83" s="25">
        <v>16</v>
      </c>
      <c r="B83" s="3">
        <v>799</v>
      </c>
      <c r="C83" s="3">
        <v>11</v>
      </c>
      <c r="D83" s="3" t="s">
        <v>197</v>
      </c>
      <c r="E83" s="4" t="s">
        <v>202</v>
      </c>
      <c r="F83" s="5" t="s">
        <v>77</v>
      </c>
      <c r="G83" s="12">
        <v>3000000</v>
      </c>
      <c r="H83" s="5" t="s">
        <v>200</v>
      </c>
      <c r="I83" s="33"/>
    </row>
    <row r="84" spans="1:9" ht="28.8" x14ac:dyDescent="0.3">
      <c r="A84" s="23">
        <v>1</v>
      </c>
      <c r="B84" s="8">
        <v>723</v>
      </c>
      <c r="C84" s="8">
        <v>12</v>
      </c>
      <c r="D84" s="8" t="s">
        <v>196</v>
      </c>
      <c r="E84" s="9" t="s">
        <v>202</v>
      </c>
      <c r="F84" s="10" t="s">
        <v>78</v>
      </c>
      <c r="G84" s="11">
        <v>685000</v>
      </c>
      <c r="H84" s="10" t="s">
        <v>210</v>
      </c>
      <c r="I84" s="34"/>
    </row>
    <row r="85" spans="1:9" ht="28.8" x14ac:dyDescent="0.3">
      <c r="A85" s="25">
        <v>28</v>
      </c>
      <c r="B85" s="3">
        <v>717</v>
      </c>
      <c r="C85" s="3">
        <v>13</v>
      </c>
      <c r="D85" s="3" t="s">
        <v>197</v>
      </c>
      <c r="E85" s="4" t="s">
        <v>202</v>
      </c>
      <c r="F85" s="5" t="s">
        <v>79</v>
      </c>
      <c r="G85" s="12">
        <v>3000000</v>
      </c>
      <c r="H85" s="5" t="s">
        <v>200</v>
      </c>
      <c r="I85" s="33"/>
    </row>
    <row r="86" spans="1:9" ht="32.25" customHeight="1" x14ac:dyDescent="0.3">
      <c r="A86" s="25">
        <v>5</v>
      </c>
      <c r="B86" s="3">
        <v>611</v>
      </c>
      <c r="C86" s="3">
        <v>14</v>
      </c>
      <c r="D86" s="3" t="s">
        <v>197</v>
      </c>
      <c r="E86" s="4" t="s">
        <v>202</v>
      </c>
      <c r="F86" s="5" t="s">
        <v>80</v>
      </c>
      <c r="G86" s="12">
        <v>3000000</v>
      </c>
      <c r="H86" s="5" t="s">
        <v>200</v>
      </c>
      <c r="I86" s="33"/>
    </row>
    <row r="87" spans="1:9" ht="32.25" customHeight="1" x14ac:dyDescent="0.3">
      <c r="A87" s="25">
        <v>27</v>
      </c>
      <c r="B87" s="3">
        <v>592</v>
      </c>
      <c r="C87" s="3">
        <v>15</v>
      </c>
      <c r="D87" s="3" t="s">
        <v>197</v>
      </c>
      <c r="E87" s="4" t="s">
        <v>202</v>
      </c>
      <c r="F87" s="5" t="s">
        <v>81</v>
      </c>
      <c r="G87" s="12">
        <v>2600000</v>
      </c>
      <c r="H87" s="5" t="s">
        <v>200</v>
      </c>
      <c r="I87" s="33"/>
    </row>
    <row r="88" spans="1:9" ht="32.25" customHeight="1" x14ac:dyDescent="0.3">
      <c r="A88" s="25">
        <v>23</v>
      </c>
      <c r="B88" s="3">
        <v>537</v>
      </c>
      <c r="C88" s="3">
        <v>16</v>
      </c>
      <c r="D88" s="3" t="s">
        <v>197</v>
      </c>
      <c r="E88" s="4" t="s">
        <v>202</v>
      </c>
      <c r="F88" s="5" t="s">
        <v>82</v>
      </c>
      <c r="G88" s="12">
        <v>1495000</v>
      </c>
      <c r="H88" s="5" t="s">
        <v>200</v>
      </c>
      <c r="I88" s="33"/>
    </row>
    <row r="89" spans="1:9" ht="32.25" customHeight="1" x14ac:dyDescent="0.3">
      <c r="A89" s="25">
        <v>21</v>
      </c>
      <c r="B89" s="3">
        <v>507</v>
      </c>
      <c r="C89" s="3">
        <v>17</v>
      </c>
      <c r="D89" s="3" t="s">
        <v>197</v>
      </c>
      <c r="E89" s="4" t="s">
        <v>202</v>
      </c>
      <c r="F89" s="5" t="s">
        <v>83</v>
      </c>
      <c r="G89" s="12">
        <v>400000</v>
      </c>
      <c r="H89" s="5" t="s">
        <v>200</v>
      </c>
      <c r="I89" s="33"/>
    </row>
    <row r="90" spans="1:9" ht="32.25" customHeight="1" x14ac:dyDescent="0.3">
      <c r="A90" s="25">
        <v>11</v>
      </c>
      <c r="B90" s="3">
        <v>493</v>
      </c>
      <c r="C90" s="3">
        <v>18</v>
      </c>
      <c r="D90" s="3" t="s">
        <v>197</v>
      </c>
      <c r="E90" s="4" t="s">
        <v>202</v>
      </c>
      <c r="F90" s="5" t="s">
        <v>84</v>
      </c>
      <c r="G90" s="12">
        <v>315000</v>
      </c>
      <c r="H90" s="5" t="s">
        <v>200</v>
      </c>
      <c r="I90" s="33"/>
    </row>
    <row r="91" spans="1:9" ht="32.25" customHeight="1" x14ac:dyDescent="0.3">
      <c r="A91" s="25">
        <v>20</v>
      </c>
      <c r="B91" s="3">
        <v>481</v>
      </c>
      <c r="C91" s="3">
        <v>19</v>
      </c>
      <c r="D91" s="3" t="s">
        <v>197</v>
      </c>
      <c r="E91" s="4" t="s">
        <v>202</v>
      </c>
      <c r="F91" s="5" t="s">
        <v>85</v>
      </c>
      <c r="G91" s="12">
        <v>2580000</v>
      </c>
      <c r="H91" s="5" t="s">
        <v>200</v>
      </c>
      <c r="I91" s="33"/>
    </row>
    <row r="92" spans="1:9" ht="32.25" customHeight="1" x14ac:dyDescent="0.3">
      <c r="A92" s="25">
        <v>6</v>
      </c>
      <c r="B92" s="3">
        <v>454</v>
      </c>
      <c r="C92" s="3">
        <v>20</v>
      </c>
      <c r="D92" s="3" t="s">
        <v>197</v>
      </c>
      <c r="E92" s="4" t="s">
        <v>202</v>
      </c>
      <c r="F92" s="5" t="s">
        <v>86</v>
      </c>
      <c r="G92" s="12">
        <v>2000000</v>
      </c>
      <c r="H92" s="5" t="s">
        <v>200</v>
      </c>
      <c r="I92" s="33"/>
    </row>
    <row r="93" spans="1:9" ht="32.25" customHeight="1" x14ac:dyDescent="0.3">
      <c r="A93" s="25">
        <v>13</v>
      </c>
      <c r="B93" s="3">
        <v>404</v>
      </c>
      <c r="C93" s="3">
        <v>21</v>
      </c>
      <c r="D93" s="3" t="s">
        <v>197</v>
      </c>
      <c r="E93" s="4" t="s">
        <v>202</v>
      </c>
      <c r="F93" s="5" t="s">
        <v>87</v>
      </c>
      <c r="G93" s="12">
        <v>2070000</v>
      </c>
      <c r="H93" s="5" t="s">
        <v>200</v>
      </c>
      <c r="I93" s="33"/>
    </row>
    <row r="94" spans="1:9" ht="32.25" customHeight="1" x14ac:dyDescent="0.3">
      <c r="A94" s="25">
        <v>22</v>
      </c>
      <c r="B94" s="3">
        <v>363</v>
      </c>
      <c r="C94" s="3">
        <v>22</v>
      </c>
      <c r="D94" s="3" t="s">
        <v>197</v>
      </c>
      <c r="E94" s="4" t="s">
        <v>202</v>
      </c>
      <c r="F94" s="5" t="s">
        <v>88</v>
      </c>
      <c r="G94" s="12">
        <v>280400</v>
      </c>
      <c r="H94" s="5" t="s">
        <v>200</v>
      </c>
      <c r="I94" s="33"/>
    </row>
    <row r="95" spans="1:9" ht="32.25" customHeight="1" x14ac:dyDescent="0.3">
      <c r="A95" s="25">
        <v>2</v>
      </c>
      <c r="B95" s="3">
        <v>336</v>
      </c>
      <c r="C95" s="3">
        <v>23</v>
      </c>
      <c r="D95" s="3" t="s">
        <v>197</v>
      </c>
      <c r="E95" s="4" t="s">
        <v>202</v>
      </c>
      <c r="F95" s="5" t="s">
        <v>89</v>
      </c>
      <c r="G95" s="12">
        <v>1200000</v>
      </c>
      <c r="H95" s="5" t="s">
        <v>200</v>
      </c>
      <c r="I95" s="33"/>
    </row>
    <row r="96" spans="1:9" ht="32.25" customHeight="1" x14ac:dyDescent="0.3">
      <c r="A96" s="25">
        <v>35</v>
      </c>
      <c r="B96" s="3">
        <v>332</v>
      </c>
      <c r="C96" s="3">
        <v>24</v>
      </c>
      <c r="D96" s="3" t="s">
        <v>197</v>
      </c>
      <c r="E96" s="4" t="s">
        <v>202</v>
      </c>
      <c r="F96" s="5" t="s">
        <v>32</v>
      </c>
      <c r="G96" s="12">
        <v>2871000</v>
      </c>
      <c r="H96" s="5" t="s">
        <v>200</v>
      </c>
      <c r="I96" s="33"/>
    </row>
    <row r="97" spans="1:9" ht="32.25" customHeight="1" x14ac:dyDescent="0.3">
      <c r="A97" s="25">
        <v>30</v>
      </c>
      <c r="B97" s="3">
        <v>321</v>
      </c>
      <c r="C97" s="3">
        <v>25</v>
      </c>
      <c r="D97" s="3" t="s">
        <v>197</v>
      </c>
      <c r="E97" s="4" t="s">
        <v>202</v>
      </c>
      <c r="F97" s="5" t="s">
        <v>90</v>
      </c>
      <c r="G97" s="12">
        <v>566000</v>
      </c>
      <c r="H97" s="5" t="s">
        <v>200</v>
      </c>
      <c r="I97" s="33"/>
    </row>
    <row r="98" spans="1:9" ht="32.25" customHeight="1" x14ac:dyDescent="0.3">
      <c r="A98" s="25">
        <v>25</v>
      </c>
      <c r="B98" s="3">
        <v>294</v>
      </c>
      <c r="C98" s="3">
        <v>26</v>
      </c>
      <c r="D98" s="3" t="s">
        <v>197</v>
      </c>
      <c r="E98" s="4" t="s">
        <v>202</v>
      </c>
      <c r="F98" s="5" t="s">
        <v>91</v>
      </c>
      <c r="G98" s="12">
        <v>342000</v>
      </c>
      <c r="H98" s="5" t="s">
        <v>200</v>
      </c>
      <c r="I98" s="33"/>
    </row>
    <row r="99" spans="1:9" ht="32.25" customHeight="1" x14ac:dyDescent="0.3">
      <c r="A99" s="25">
        <v>4</v>
      </c>
      <c r="B99" s="3">
        <v>292</v>
      </c>
      <c r="C99" s="3">
        <v>27</v>
      </c>
      <c r="D99" s="3" t="s">
        <v>197</v>
      </c>
      <c r="E99" s="4" t="s">
        <v>202</v>
      </c>
      <c r="F99" s="5" t="s">
        <v>92</v>
      </c>
      <c r="G99" s="12">
        <v>907000</v>
      </c>
      <c r="H99" s="5" t="s">
        <v>200</v>
      </c>
      <c r="I99" s="33"/>
    </row>
    <row r="100" spans="1:9" ht="32.25" customHeight="1" x14ac:dyDescent="0.3">
      <c r="A100" s="25">
        <v>12</v>
      </c>
      <c r="B100" s="3">
        <v>270</v>
      </c>
      <c r="C100" s="3">
        <v>28</v>
      </c>
      <c r="D100" s="3" t="s">
        <v>197</v>
      </c>
      <c r="E100" s="4" t="s">
        <v>202</v>
      </c>
      <c r="F100" s="5" t="s">
        <v>58</v>
      </c>
      <c r="G100" s="12">
        <v>2283750</v>
      </c>
      <c r="H100" s="5" t="s">
        <v>200</v>
      </c>
      <c r="I100" s="33"/>
    </row>
    <row r="101" spans="1:9" ht="32.25" customHeight="1" x14ac:dyDescent="0.3">
      <c r="A101" s="25">
        <v>40</v>
      </c>
      <c r="B101" s="3">
        <v>259</v>
      </c>
      <c r="C101" s="3">
        <v>29</v>
      </c>
      <c r="D101" s="3" t="s">
        <v>197</v>
      </c>
      <c r="E101" s="4" t="s">
        <v>202</v>
      </c>
      <c r="F101" s="5" t="s">
        <v>93</v>
      </c>
      <c r="G101" s="12">
        <v>350000</v>
      </c>
      <c r="H101" s="5" t="s">
        <v>200</v>
      </c>
      <c r="I101" s="33"/>
    </row>
    <row r="102" spans="1:9" ht="28.8" x14ac:dyDescent="0.3">
      <c r="A102" s="25">
        <v>9</v>
      </c>
      <c r="B102" s="3">
        <v>240</v>
      </c>
      <c r="C102" s="3">
        <v>30</v>
      </c>
      <c r="D102" s="3" t="s">
        <v>197</v>
      </c>
      <c r="E102" s="4" t="s">
        <v>202</v>
      </c>
      <c r="F102" s="5" t="s">
        <v>94</v>
      </c>
      <c r="G102" s="12">
        <v>2445000</v>
      </c>
      <c r="H102" s="5" t="s">
        <v>200</v>
      </c>
      <c r="I102" s="33"/>
    </row>
    <row r="103" spans="1:9" ht="28.8" x14ac:dyDescent="0.3">
      <c r="A103" s="25">
        <v>8</v>
      </c>
      <c r="B103" s="3">
        <v>229</v>
      </c>
      <c r="C103" s="3">
        <v>31</v>
      </c>
      <c r="D103" s="3" t="s">
        <v>197</v>
      </c>
      <c r="E103" s="4" t="s">
        <v>202</v>
      </c>
      <c r="F103" s="5" t="s">
        <v>95</v>
      </c>
      <c r="G103" s="12">
        <v>495000</v>
      </c>
      <c r="H103" s="5" t="s">
        <v>200</v>
      </c>
      <c r="I103" s="33"/>
    </row>
    <row r="104" spans="1:9" ht="28.8" x14ac:dyDescent="0.3">
      <c r="A104" s="25">
        <v>41</v>
      </c>
      <c r="B104" s="3">
        <v>217</v>
      </c>
      <c r="C104" s="3">
        <v>32</v>
      </c>
      <c r="D104" s="3" t="s">
        <v>197</v>
      </c>
      <c r="E104" s="4" t="s">
        <v>202</v>
      </c>
      <c r="F104" s="5" t="s">
        <v>96</v>
      </c>
      <c r="G104" s="12">
        <v>337400</v>
      </c>
      <c r="H104" s="5" t="s">
        <v>200</v>
      </c>
      <c r="I104" s="33"/>
    </row>
    <row r="105" spans="1:9" ht="28.8" x14ac:dyDescent="0.3">
      <c r="A105" s="25">
        <v>38</v>
      </c>
      <c r="B105" s="3">
        <v>192</v>
      </c>
      <c r="C105" s="3">
        <v>33</v>
      </c>
      <c r="D105" s="3" t="s">
        <v>197</v>
      </c>
      <c r="E105" s="4" t="s">
        <v>202</v>
      </c>
      <c r="F105" s="5" t="s">
        <v>97</v>
      </c>
      <c r="G105" s="12">
        <v>2872744</v>
      </c>
      <c r="H105" s="5" t="s">
        <v>200</v>
      </c>
      <c r="I105" s="33"/>
    </row>
    <row r="106" spans="1:9" ht="28.8" x14ac:dyDescent="0.3">
      <c r="A106" s="25">
        <v>29</v>
      </c>
      <c r="B106" s="3">
        <v>165</v>
      </c>
      <c r="C106" s="3">
        <v>34</v>
      </c>
      <c r="D106" s="3" t="s">
        <v>197</v>
      </c>
      <c r="E106" s="4" t="s">
        <v>202</v>
      </c>
      <c r="F106" s="5" t="s">
        <v>98</v>
      </c>
      <c r="G106" s="12">
        <v>1950000</v>
      </c>
      <c r="H106" s="5" t="s">
        <v>200</v>
      </c>
      <c r="I106" s="33"/>
    </row>
    <row r="107" spans="1:9" ht="28.8" x14ac:dyDescent="0.3">
      <c r="A107" s="25">
        <v>7</v>
      </c>
      <c r="B107" s="3">
        <v>159</v>
      </c>
      <c r="C107" s="3">
        <v>35</v>
      </c>
      <c r="D107" s="3" t="s">
        <v>197</v>
      </c>
      <c r="E107" s="4" t="s">
        <v>202</v>
      </c>
      <c r="F107" s="5" t="s">
        <v>99</v>
      </c>
      <c r="G107" s="12">
        <v>778000</v>
      </c>
      <c r="H107" s="5" t="s">
        <v>200</v>
      </c>
      <c r="I107" s="33"/>
    </row>
    <row r="108" spans="1:9" ht="32.25" customHeight="1" x14ac:dyDescent="0.3">
      <c r="A108" s="23">
        <v>31</v>
      </c>
      <c r="B108" s="8">
        <v>141</v>
      </c>
      <c r="C108" s="8">
        <v>36</v>
      </c>
      <c r="D108" s="8" t="s">
        <v>196</v>
      </c>
      <c r="E108" s="9" t="s">
        <v>202</v>
      </c>
      <c r="F108" s="10" t="s">
        <v>11</v>
      </c>
      <c r="G108" s="11">
        <v>180000</v>
      </c>
      <c r="H108" s="10" t="s">
        <v>210</v>
      </c>
      <c r="I108" s="35"/>
    </row>
    <row r="109" spans="1:9" ht="36" customHeight="1" x14ac:dyDescent="0.3">
      <c r="A109" s="25">
        <v>33</v>
      </c>
      <c r="B109" s="3">
        <v>79</v>
      </c>
      <c r="C109" s="3">
        <v>37</v>
      </c>
      <c r="D109" s="3" t="s">
        <v>197</v>
      </c>
      <c r="E109" s="4" t="s">
        <v>202</v>
      </c>
      <c r="F109" s="5" t="s">
        <v>100</v>
      </c>
      <c r="G109" s="12">
        <v>1332141</v>
      </c>
      <c r="H109" s="5" t="s">
        <v>200</v>
      </c>
      <c r="I109" s="33"/>
    </row>
    <row r="110" spans="1:9" ht="28.8" x14ac:dyDescent="0.3">
      <c r="A110" s="25">
        <v>10</v>
      </c>
      <c r="B110" s="3">
        <v>78</v>
      </c>
      <c r="C110" s="3">
        <v>38</v>
      </c>
      <c r="D110" s="3" t="s">
        <v>197</v>
      </c>
      <c r="E110" s="4" t="s">
        <v>202</v>
      </c>
      <c r="F110" s="5" t="s">
        <v>101</v>
      </c>
      <c r="G110" s="12">
        <v>314500</v>
      </c>
      <c r="H110" s="5" t="s">
        <v>200</v>
      </c>
      <c r="I110" s="33"/>
    </row>
    <row r="111" spans="1:9" ht="28.8" x14ac:dyDescent="0.3">
      <c r="A111" s="25">
        <v>36</v>
      </c>
      <c r="B111" s="3">
        <v>71</v>
      </c>
      <c r="C111" s="3">
        <v>39</v>
      </c>
      <c r="D111" s="3" t="s">
        <v>197</v>
      </c>
      <c r="E111" s="4" t="s">
        <v>202</v>
      </c>
      <c r="F111" s="5" t="s">
        <v>102</v>
      </c>
      <c r="G111" s="12">
        <v>217000</v>
      </c>
      <c r="H111" s="5" t="s">
        <v>200</v>
      </c>
      <c r="I111" s="33"/>
    </row>
    <row r="112" spans="1:9" ht="28.8" x14ac:dyDescent="0.3">
      <c r="A112" s="25">
        <v>32</v>
      </c>
      <c r="B112" s="3">
        <v>55</v>
      </c>
      <c r="C112" s="3">
        <v>40</v>
      </c>
      <c r="D112" s="3" t="s">
        <v>197</v>
      </c>
      <c r="E112" s="4" t="s">
        <v>202</v>
      </c>
      <c r="F112" s="5" t="s">
        <v>103</v>
      </c>
      <c r="G112" s="12">
        <v>1287000</v>
      </c>
      <c r="H112" s="5" t="s">
        <v>200</v>
      </c>
      <c r="I112" s="33"/>
    </row>
    <row r="113" spans="1:9" ht="29.4" thickBot="1" x14ac:dyDescent="0.35">
      <c r="A113" s="26">
        <v>34</v>
      </c>
      <c r="B113" s="27">
        <v>37</v>
      </c>
      <c r="C113" s="27">
        <v>41</v>
      </c>
      <c r="D113" s="27" t="s">
        <v>197</v>
      </c>
      <c r="E113" s="28" t="s">
        <v>202</v>
      </c>
      <c r="F113" s="29" t="s">
        <v>104</v>
      </c>
      <c r="G113" s="30">
        <v>1468513</v>
      </c>
      <c r="H113" s="29" t="s">
        <v>200</v>
      </c>
      <c r="I113" s="32">
        <f>SUM(G108,G84,G80,G78,G76,G75,G74,G73)</f>
        <v>14396000</v>
      </c>
    </row>
    <row r="114" spans="1:9" ht="34.5" customHeight="1" x14ac:dyDescent="0.3">
      <c r="A114" s="17">
        <v>5</v>
      </c>
      <c r="B114" s="18">
        <v>1529</v>
      </c>
      <c r="C114" s="18">
        <v>1</v>
      </c>
      <c r="D114" s="18" t="s">
        <v>196</v>
      </c>
      <c r="E114" s="19" t="s">
        <v>203</v>
      </c>
      <c r="F114" s="20" t="s">
        <v>105</v>
      </c>
      <c r="G114" s="21">
        <v>3000000</v>
      </c>
      <c r="H114" s="20" t="s">
        <v>210</v>
      </c>
      <c r="I114" s="31"/>
    </row>
    <row r="115" spans="1:9" ht="34.5" customHeight="1" x14ac:dyDescent="0.3">
      <c r="A115" s="23">
        <v>1</v>
      </c>
      <c r="B115" s="8">
        <v>1093</v>
      </c>
      <c r="C115" s="8">
        <v>2</v>
      </c>
      <c r="D115" s="8" t="s">
        <v>196</v>
      </c>
      <c r="E115" s="9" t="s">
        <v>203</v>
      </c>
      <c r="F115" s="10" t="s">
        <v>106</v>
      </c>
      <c r="G115" s="11">
        <v>2100000</v>
      </c>
      <c r="H115" s="10" t="s">
        <v>210</v>
      </c>
      <c r="I115" s="33"/>
    </row>
    <row r="116" spans="1:9" ht="34.5" customHeight="1" x14ac:dyDescent="0.3">
      <c r="A116" s="23">
        <v>7</v>
      </c>
      <c r="B116" s="8">
        <v>640</v>
      </c>
      <c r="C116" s="8">
        <v>3</v>
      </c>
      <c r="D116" s="8" t="s">
        <v>196</v>
      </c>
      <c r="E116" s="9" t="s">
        <v>203</v>
      </c>
      <c r="F116" s="10" t="s">
        <v>107</v>
      </c>
      <c r="G116" s="11">
        <v>2400000</v>
      </c>
      <c r="H116" s="10" t="s">
        <v>210</v>
      </c>
      <c r="I116" s="33"/>
    </row>
    <row r="117" spans="1:9" ht="34.5" customHeight="1" x14ac:dyDescent="0.3">
      <c r="A117" s="23">
        <v>3</v>
      </c>
      <c r="B117" s="8">
        <v>489</v>
      </c>
      <c r="C117" s="8">
        <v>4</v>
      </c>
      <c r="D117" s="8" t="s">
        <v>196</v>
      </c>
      <c r="E117" s="9" t="s">
        <v>203</v>
      </c>
      <c r="F117" s="10" t="s">
        <v>108</v>
      </c>
      <c r="G117" s="11">
        <v>1400000</v>
      </c>
      <c r="H117" s="10" t="s">
        <v>210</v>
      </c>
      <c r="I117" s="33"/>
    </row>
    <row r="118" spans="1:9" ht="34.5" customHeight="1" x14ac:dyDescent="0.3">
      <c r="A118" s="23">
        <v>12</v>
      </c>
      <c r="B118" s="8">
        <v>386</v>
      </c>
      <c r="C118" s="8">
        <v>5</v>
      </c>
      <c r="D118" s="8" t="s">
        <v>196</v>
      </c>
      <c r="E118" s="9" t="s">
        <v>203</v>
      </c>
      <c r="F118" s="10" t="s">
        <v>109</v>
      </c>
      <c r="G118" s="11">
        <v>575000</v>
      </c>
      <c r="H118" s="10" t="s">
        <v>210</v>
      </c>
      <c r="I118" s="33"/>
    </row>
    <row r="119" spans="1:9" ht="34.5" customHeight="1" x14ac:dyDescent="0.3">
      <c r="A119" s="23">
        <v>16</v>
      </c>
      <c r="B119" s="8">
        <v>383</v>
      </c>
      <c r="C119" s="8">
        <v>6</v>
      </c>
      <c r="D119" s="8" t="s">
        <v>196</v>
      </c>
      <c r="E119" s="9" t="s">
        <v>203</v>
      </c>
      <c r="F119" s="10" t="s">
        <v>5</v>
      </c>
      <c r="G119" s="11">
        <v>768431</v>
      </c>
      <c r="H119" s="10" t="s">
        <v>210</v>
      </c>
      <c r="I119" s="33"/>
    </row>
    <row r="120" spans="1:9" ht="34.5" customHeight="1" x14ac:dyDescent="0.3">
      <c r="A120" s="23">
        <v>9</v>
      </c>
      <c r="B120" s="8">
        <v>279</v>
      </c>
      <c r="C120" s="8">
        <v>7</v>
      </c>
      <c r="D120" s="8" t="s">
        <v>196</v>
      </c>
      <c r="E120" s="9" t="s">
        <v>203</v>
      </c>
      <c r="F120" s="10" t="s">
        <v>110</v>
      </c>
      <c r="G120" s="11">
        <v>328000</v>
      </c>
      <c r="H120" s="10" t="s">
        <v>210</v>
      </c>
      <c r="I120" s="33"/>
    </row>
    <row r="121" spans="1:9" ht="27.75" customHeight="1" x14ac:dyDescent="0.3">
      <c r="A121" s="25">
        <v>6</v>
      </c>
      <c r="B121" s="3">
        <v>272</v>
      </c>
      <c r="C121" s="3">
        <v>8</v>
      </c>
      <c r="D121" s="3" t="s">
        <v>197</v>
      </c>
      <c r="E121" s="4" t="s">
        <v>203</v>
      </c>
      <c r="F121" s="5" t="s">
        <v>111</v>
      </c>
      <c r="G121" s="12">
        <v>3000000</v>
      </c>
      <c r="H121" s="5" t="s">
        <v>200</v>
      </c>
      <c r="I121" s="33"/>
    </row>
    <row r="122" spans="1:9" ht="27.75" customHeight="1" x14ac:dyDescent="0.3">
      <c r="A122" s="25">
        <v>14</v>
      </c>
      <c r="B122" s="3">
        <v>249</v>
      </c>
      <c r="C122" s="3">
        <v>9</v>
      </c>
      <c r="D122" s="3" t="s">
        <v>197</v>
      </c>
      <c r="E122" s="4" t="s">
        <v>203</v>
      </c>
      <c r="F122" s="5" t="s">
        <v>112</v>
      </c>
      <c r="G122" s="12">
        <v>2775300</v>
      </c>
      <c r="H122" s="5" t="s">
        <v>200</v>
      </c>
      <c r="I122" s="33"/>
    </row>
    <row r="123" spans="1:9" ht="33.75" customHeight="1" x14ac:dyDescent="0.3">
      <c r="A123" s="23">
        <v>4</v>
      </c>
      <c r="B123" s="8">
        <v>223</v>
      </c>
      <c r="C123" s="8">
        <v>10</v>
      </c>
      <c r="D123" s="8" t="s">
        <v>196</v>
      </c>
      <c r="E123" s="9" t="s">
        <v>203</v>
      </c>
      <c r="F123" s="10" t="s">
        <v>58</v>
      </c>
      <c r="G123" s="11">
        <v>1522500</v>
      </c>
      <c r="H123" s="10" t="s">
        <v>210</v>
      </c>
      <c r="I123" s="33"/>
    </row>
    <row r="124" spans="1:9" ht="28.8" x14ac:dyDescent="0.3">
      <c r="A124" s="25">
        <v>11</v>
      </c>
      <c r="B124" s="3">
        <v>144</v>
      </c>
      <c r="C124" s="3">
        <v>11</v>
      </c>
      <c r="D124" s="3" t="s">
        <v>197</v>
      </c>
      <c r="E124" s="4" t="s">
        <v>203</v>
      </c>
      <c r="F124" s="5" t="s">
        <v>113</v>
      </c>
      <c r="G124" s="12">
        <v>360000</v>
      </c>
      <c r="H124" s="5" t="s">
        <v>200</v>
      </c>
      <c r="I124" s="33"/>
    </row>
    <row r="125" spans="1:9" ht="28.8" x14ac:dyDescent="0.3">
      <c r="A125" s="25">
        <v>17</v>
      </c>
      <c r="B125" s="3">
        <v>142</v>
      </c>
      <c r="C125" s="3">
        <v>12</v>
      </c>
      <c r="D125" s="3" t="s">
        <v>197</v>
      </c>
      <c r="E125" s="4" t="s">
        <v>203</v>
      </c>
      <c r="F125" s="5" t="s">
        <v>114</v>
      </c>
      <c r="G125" s="12">
        <v>394000</v>
      </c>
      <c r="H125" s="5" t="s">
        <v>200</v>
      </c>
      <c r="I125" s="33"/>
    </row>
    <row r="126" spans="1:9" ht="29.25" customHeight="1" x14ac:dyDescent="0.3">
      <c r="A126" s="25">
        <v>10</v>
      </c>
      <c r="B126" s="3">
        <v>138</v>
      </c>
      <c r="C126" s="3">
        <v>13</v>
      </c>
      <c r="D126" s="3" t="s">
        <v>197</v>
      </c>
      <c r="E126" s="4" t="s">
        <v>203</v>
      </c>
      <c r="F126" s="5" t="s">
        <v>27</v>
      </c>
      <c r="G126" s="12">
        <v>240000</v>
      </c>
      <c r="H126" s="5" t="s">
        <v>200</v>
      </c>
      <c r="I126" s="33"/>
    </row>
    <row r="127" spans="1:9" ht="28.8" x14ac:dyDescent="0.3">
      <c r="A127" s="25">
        <v>8</v>
      </c>
      <c r="B127" s="3">
        <v>67</v>
      </c>
      <c r="C127" s="3">
        <v>14</v>
      </c>
      <c r="D127" s="3" t="s">
        <v>197</v>
      </c>
      <c r="E127" s="4" t="s">
        <v>203</v>
      </c>
      <c r="F127" s="5" t="s">
        <v>115</v>
      </c>
      <c r="G127" s="12">
        <v>1176000</v>
      </c>
      <c r="H127" s="5" t="s">
        <v>200</v>
      </c>
      <c r="I127" s="33"/>
    </row>
    <row r="128" spans="1:9" ht="28.8" x14ac:dyDescent="0.3">
      <c r="A128" s="25">
        <v>2</v>
      </c>
      <c r="B128" s="3">
        <v>55</v>
      </c>
      <c r="C128" s="3">
        <v>15</v>
      </c>
      <c r="D128" s="3" t="s">
        <v>197</v>
      </c>
      <c r="E128" s="4" t="s">
        <v>203</v>
      </c>
      <c r="F128" s="5" t="s">
        <v>116</v>
      </c>
      <c r="G128" s="12">
        <v>36000</v>
      </c>
      <c r="H128" s="5" t="s">
        <v>200</v>
      </c>
      <c r="I128" s="33"/>
    </row>
    <row r="129" spans="1:9" ht="28.5" customHeight="1" x14ac:dyDescent="0.3">
      <c r="A129" s="25">
        <v>15</v>
      </c>
      <c r="B129" s="3">
        <v>47</v>
      </c>
      <c r="C129" s="3">
        <v>16</v>
      </c>
      <c r="D129" s="3" t="s">
        <v>197</v>
      </c>
      <c r="E129" s="4" t="s">
        <v>203</v>
      </c>
      <c r="F129" s="5" t="s">
        <v>117</v>
      </c>
      <c r="G129" s="12">
        <v>43400</v>
      </c>
      <c r="H129" s="5" t="s">
        <v>200</v>
      </c>
      <c r="I129" s="33"/>
    </row>
    <row r="130" spans="1:9" ht="29.4" thickBot="1" x14ac:dyDescent="0.35">
      <c r="A130" s="26">
        <v>13</v>
      </c>
      <c r="B130" s="27">
        <v>39</v>
      </c>
      <c r="C130" s="27">
        <v>17</v>
      </c>
      <c r="D130" s="27" t="s">
        <v>197</v>
      </c>
      <c r="E130" s="28" t="s">
        <v>203</v>
      </c>
      <c r="F130" s="29" t="s">
        <v>118</v>
      </c>
      <c r="G130" s="30">
        <v>3000000</v>
      </c>
      <c r="H130" s="29" t="s">
        <v>200</v>
      </c>
      <c r="I130" s="32">
        <f>SUM(G123,G120,G119,G118,G117,G116,G115,G114)</f>
        <v>12093931</v>
      </c>
    </row>
    <row r="131" spans="1:9" ht="35.25" customHeight="1" x14ac:dyDescent="0.3">
      <c r="A131" s="17">
        <v>1</v>
      </c>
      <c r="B131" s="18">
        <v>1874</v>
      </c>
      <c r="C131" s="18">
        <v>1</v>
      </c>
      <c r="D131" s="18" t="s">
        <v>196</v>
      </c>
      <c r="E131" s="19" t="s">
        <v>204</v>
      </c>
      <c r="F131" s="20" t="s">
        <v>119</v>
      </c>
      <c r="G131" s="21">
        <v>3000000</v>
      </c>
      <c r="H131" s="20" t="s">
        <v>210</v>
      </c>
      <c r="I131" s="31"/>
    </row>
    <row r="132" spans="1:9" ht="35.25" customHeight="1" x14ac:dyDescent="0.3">
      <c r="A132" s="23">
        <v>12</v>
      </c>
      <c r="B132" s="8">
        <v>1254</v>
      </c>
      <c r="C132" s="8">
        <v>2</v>
      </c>
      <c r="D132" s="8" t="s">
        <v>196</v>
      </c>
      <c r="E132" s="9" t="s">
        <v>204</v>
      </c>
      <c r="F132" s="10" t="s">
        <v>120</v>
      </c>
      <c r="G132" s="11">
        <v>3000000</v>
      </c>
      <c r="H132" s="10" t="s">
        <v>210</v>
      </c>
      <c r="I132" s="33"/>
    </row>
    <row r="133" spans="1:9" ht="35.25" customHeight="1" x14ac:dyDescent="0.3">
      <c r="A133" s="23">
        <v>9</v>
      </c>
      <c r="B133" s="8">
        <v>757</v>
      </c>
      <c r="C133" s="8">
        <v>3</v>
      </c>
      <c r="D133" s="8" t="s">
        <v>196</v>
      </c>
      <c r="E133" s="9" t="s">
        <v>204</v>
      </c>
      <c r="F133" s="10" t="s">
        <v>5</v>
      </c>
      <c r="G133" s="11">
        <v>3000000</v>
      </c>
      <c r="H133" s="10" t="s">
        <v>210</v>
      </c>
      <c r="I133" s="33"/>
    </row>
    <row r="134" spans="1:9" ht="26.25" customHeight="1" x14ac:dyDescent="0.3">
      <c r="A134" s="25">
        <v>5</v>
      </c>
      <c r="B134" s="3">
        <v>687</v>
      </c>
      <c r="C134" s="3">
        <v>4</v>
      </c>
      <c r="D134" s="3" t="s">
        <v>197</v>
      </c>
      <c r="E134" s="4" t="s">
        <v>204</v>
      </c>
      <c r="F134" s="5" t="s">
        <v>121</v>
      </c>
      <c r="G134" s="12">
        <v>2500000</v>
      </c>
      <c r="H134" s="5" t="s">
        <v>200</v>
      </c>
      <c r="I134" s="33"/>
    </row>
    <row r="135" spans="1:9" ht="26.25" customHeight="1" x14ac:dyDescent="0.3">
      <c r="A135" s="25">
        <v>6</v>
      </c>
      <c r="B135" s="3">
        <v>524</v>
      </c>
      <c r="C135" s="3">
        <v>5</v>
      </c>
      <c r="D135" s="3" t="s">
        <v>197</v>
      </c>
      <c r="E135" s="4" t="s">
        <v>204</v>
      </c>
      <c r="F135" s="5" t="s">
        <v>122</v>
      </c>
      <c r="G135" s="12">
        <v>2000000</v>
      </c>
      <c r="H135" s="5" t="s">
        <v>200</v>
      </c>
      <c r="I135" s="33"/>
    </row>
    <row r="136" spans="1:9" ht="33.75" customHeight="1" x14ac:dyDescent="0.3">
      <c r="A136" s="23">
        <v>4</v>
      </c>
      <c r="B136" s="8">
        <v>356</v>
      </c>
      <c r="C136" s="8">
        <v>6</v>
      </c>
      <c r="D136" s="8" t="s">
        <v>196</v>
      </c>
      <c r="E136" s="9" t="s">
        <v>204</v>
      </c>
      <c r="F136" s="10" t="s">
        <v>123</v>
      </c>
      <c r="G136" s="11">
        <v>750000</v>
      </c>
      <c r="H136" s="10" t="s">
        <v>210</v>
      </c>
      <c r="I136" s="33"/>
    </row>
    <row r="137" spans="1:9" ht="29.25" customHeight="1" x14ac:dyDescent="0.3">
      <c r="A137" s="25">
        <v>2</v>
      </c>
      <c r="B137" s="3">
        <v>334</v>
      </c>
      <c r="C137" s="3">
        <v>7</v>
      </c>
      <c r="D137" s="3" t="s">
        <v>197</v>
      </c>
      <c r="E137" s="4" t="s">
        <v>204</v>
      </c>
      <c r="F137" s="5" t="s">
        <v>124</v>
      </c>
      <c r="G137" s="12">
        <v>487000</v>
      </c>
      <c r="H137" s="5" t="s">
        <v>200</v>
      </c>
      <c r="I137" s="33"/>
    </row>
    <row r="138" spans="1:9" ht="32.25" customHeight="1" x14ac:dyDescent="0.3">
      <c r="A138" s="23">
        <v>11</v>
      </c>
      <c r="B138" s="8">
        <v>313</v>
      </c>
      <c r="C138" s="8">
        <v>8</v>
      </c>
      <c r="D138" s="8" t="s">
        <v>196</v>
      </c>
      <c r="E138" s="9" t="s">
        <v>204</v>
      </c>
      <c r="F138" s="10" t="s">
        <v>125</v>
      </c>
      <c r="G138" s="11">
        <v>198000</v>
      </c>
      <c r="H138" s="10" t="s">
        <v>210</v>
      </c>
      <c r="I138" s="33"/>
    </row>
    <row r="139" spans="1:9" ht="28.8" x14ac:dyDescent="0.3">
      <c r="A139" s="25">
        <v>3</v>
      </c>
      <c r="B139" s="3">
        <v>303</v>
      </c>
      <c r="C139" s="3">
        <v>9</v>
      </c>
      <c r="D139" s="3" t="s">
        <v>197</v>
      </c>
      <c r="E139" s="4" t="s">
        <v>204</v>
      </c>
      <c r="F139" s="5" t="s">
        <v>126</v>
      </c>
      <c r="G139" s="12">
        <v>245000</v>
      </c>
      <c r="H139" s="5" t="s">
        <v>200</v>
      </c>
      <c r="I139" s="33"/>
    </row>
    <row r="140" spans="1:9" ht="28.8" x14ac:dyDescent="0.3">
      <c r="A140" s="25">
        <v>10</v>
      </c>
      <c r="B140" s="3">
        <v>258</v>
      </c>
      <c r="C140" s="3">
        <v>10</v>
      </c>
      <c r="D140" s="3" t="s">
        <v>197</v>
      </c>
      <c r="E140" s="4" t="s">
        <v>204</v>
      </c>
      <c r="F140" s="5" t="s">
        <v>127</v>
      </c>
      <c r="G140" s="12">
        <v>1413244</v>
      </c>
      <c r="H140" s="5" t="s">
        <v>200</v>
      </c>
      <c r="I140" s="33"/>
    </row>
    <row r="141" spans="1:9" ht="28.8" x14ac:dyDescent="0.3">
      <c r="A141" s="25">
        <v>7</v>
      </c>
      <c r="B141" s="3">
        <v>193</v>
      </c>
      <c r="C141" s="3">
        <v>11</v>
      </c>
      <c r="D141" s="3" t="s">
        <v>197</v>
      </c>
      <c r="E141" s="4" t="s">
        <v>204</v>
      </c>
      <c r="F141" s="5" t="s">
        <v>128</v>
      </c>
      <c r="G141" s="12">
        <v>3000000</v>
      </c>
      <c r="H141" s="5" t="s">
        <v>200</v>
      </c>
      <c r="I141" s="33"/>
    </row>
    <row r="142" spans="1:9" ht="33" customHeight="1" thickBot="1" x14ac:dyDescent="0.35">
      <c r="A142" s="26">
        <v>8</v>
      </c>
      <c r="B142" s="27">
        <v>157</v>
      </c>
      <c r="C142" s="27">
        <v>12</v>
      </c>
      <c r="D142" s="27" t="s">
        <v>197</v>
      </c>
      <c r="E142" s="28" t="s">
        <v>204</v>
      </c>
      <c r="F142" s="29" t="s">
        <v>27</v>
      </c>
      <c r="G142" s="30">
        <v>210000</v>
      </c>
      <c r="H142" s="29" t="s">
        <v>200</v>
      </c>
      <c r="I142" s="36">
        <f>SUM(G138,G136,G133,G132,G131)</f>
        <v>9948000</v>
      </c>
    </row>
    <row r="143" spans="1:9" s="6" customFormat="1" ht="28.8" x14ac:dyDescent="0.3">
      <c r="A143" s="17">
        <v>6</v>
      </c>
      <c r="B143" s="18">
        <v>1409</v>
      </c>
      <c r="C143" s="18">
        <v>1</v>
      </c>
      <c r="D143" s="18" t="s">
        <v>196</v>
      </c>
      <c r="E143" s="19" t="s">
        <v>205</v>
      </c>
      <c r="F143" s="20" t="s">
        <v>212</v>
      </c>
      <c r="G143" s="21">
        <v>3000000</v>
      </c>
      <c r="H143" s="20" t="s">
        <v>210</v>
      </c>
      <c r="I143" s="22"/>
    </row>
    <row r="144" spans="1:9" s="6" customFormat="1" ht="26.25" customHeight="1" x14ac:dyDescent="0.3">
      <c r="A144" s="23">
        <v>4</v>
      </c>
      <c r="B144" s="8">
        <v>978</v>
      </c>
      <c r="C144" s="8">
        <v>2</v>
      </c>
      <c r="D144" s="8" t="s">
        <v>196</v>
      </c>
      <c r="E144" s="9" t="s">
        <v>205</v>
      </c>
      <c r="F144" s="10" t="s">
        <v>214</v>
      </c>
      <c r="G144" s="11">
        <v>3000000</v>
      </c>
      <c r="H144" s="10" t="s">
        <v>210</v>
      </c>
      <c r="I144" s="24"/>
    </row>
    <row r="145" spans="1:9" s="6" customFormat="1" ht="28.8" x14ac:dyDescent="0.3">
      <c r="A145" s="23">
        <v>18</v>
      </c>
      <c r="B145" s="8">
        <v>962</v>
      </c>
      <c r="C145" s="8">
        <v>3</v>
      </c>
      <c r="D145" s="8" t="s">
        <v>196</v>
      </c>
      <c r="E145" s="9" t="s">
        <v>205</v>
      </c>
      <c r="F145" s="10" t="s">
        <v>129</v>
      </c>
      <c r="G145" s="11">
        <v>3000000</v>
      </c>
      <c r="H145" s="10" t="s">
        <v>210</v>
      </c>
      <c r="I145" s="24"/>
    </row>
    <row r="146" spans="1:9" s="6" customFormat="1" ht="25.5" customHeight="1" x14ac:dyDescent="0.3">
      <c r="A146" s="23">
        <v>28</v>
      </c>
      <c r="B146" s="8">
        <v>937</v>
      </c>
      <c r="C146" s="8">
        <v>4</v>
      </c>
      <c r="D146" s="8" t="s">
        <v>196</v>
      </c>
      <c r="E146" s="9" t="s">
        <v>205</v>
      </c>
      <c r="F146" s="10" t="s">
        <v>5</v>
      </c>
      <c r="G146" s="11">
        <v>3000000</v>
      </c>
      <c r="H146" s="10" t="s">
        <v>210</v>
      </c>
      <c r="I146" s="24"/>
    </row>
    <row r="147" spans="1:9" s="6" customFormat="1" ht="28.8" x14ac:dyDescent="0.3">
      <c r="A147" s="23">
        <v>10</v>
      </c>
      <c r="B147" s="8">
        <v>864</v>
      </c>
      <c r="C147" s="8">
        <v>5</v>
      </c>
      <c r="D147" s="8" t="s">
        <v>196</v>
      </c>
      <c r="E147" s="9" t="s">
        <v>205</v>
      </c>
      <c r="F147" s="10" t="s">
        <v>130</v>
      </c>
      <c r="G147" s="11">
        <v>1435000</v>
      </c>
      <c r="H147" s="10" t="s">
        <v>210</v>
      </c>
      <c r="I147" s="24"/>
    </row>
    <row r="148" spans="1:9" s="6" customFormat="1" ht="28.8" x14ac:dyDescent="0.3">
      <c r="A148" s="25">
        <v>7</v>
      </c>
      <c r="B148" s="3">
        <v>835</v>
      </c>
      <c r="C148" s="3">
        <v>6</v>
      </c>
      <c r="D148" s="3" t="s">
        <v>197</v>
      </c>
      <c r="E148" s="4" t="s">
        <v>205</v>
      </c>
      <c r="F148" s="5" t="s">
        <v>131</v>
      </c>
      <c r="G148" s="12">
        <v>3000000</v>
      </c>
      <c r="H148" s="5" t="s">
        <v>200</v>
      </c>
      <c r="I148" s="24"/>
    </row>
    <row r="149" spans="1:9" s="6" customFormat="1" ht="28.8" x14ac:dyDescent="0.3">
      <c r="A149" s="25">
        <v>13</v>
      </c>
      <c r="B149" s="3">
        <v>816</v>
      </c>
      <c r="C149" s="3">
        <v>7</v>
      </c>
      <c r="D149" s="3" t="s">
        <v>197</v>
      </c>
      <c r="E149" s="4" t="s">
        <v>205</v>
      </c>
      <c r="F149" s="5" t="s">
        <v>132</v>
      </c>
      <c r="G149" s="12">
        <v>2450000</v>
      </c>
      <c r="H149" s="5" t="s">
        <v>200</v>
      </c>
      <c r="I149" s="24"/>
    </row>
    <row r="150" spans="1:9" s="6" customFormat="1" ht="26.25" customHeight="1" x14ac:dyDescent="0.3">
      <c r="A150" s="25">
        <v>2</v>
      </c>
      <c r="B150" s="3">
        <v>816</v>
      </c>
      <c r="C150" s="3">
        <v>8</v>
      </c>
      <c r="D150" s="3" t="s">
        <v>197</v>
      </c>
      <c r="E150" s="4" t="s">
        <v>205</v>
      </c>
      <c r="F150" s="5" t="s">
        <v>133</v>
      </c>
      <c r="G150" s="12">
        <v>3000000</v>
      </c>
      <c r="H150" s="5" t="s">
        <v>200</v>
      </c>
      <c r="I150" s="24"/>
    </row>
    <row r="151" spans="1:9" s="6" customFormat="1" ht="33" customHeight="1" x14ac:dyDescent="0.3">
      <c r="A151" s="23">
        <v>15</v>
      </c>
      <c r="B151" s="8">
        <v>778</v>
      </c>
      <c r="C151" s="8">
        <v>9</v>
      </c>
      <c r="D151" s="8" t="s">
        <v>196</v>
      </c>
      <c r="E151" s="9" t="s">
        <v>205</v>
      </c>
      <c r="F151" s="10" t="s">
        <v>134</v>
      </c>
      <c r="G151" s="11">
        <v>371250</v>
      </c>
      <c r="H151" s="10" t="s">
        <v>210</v>
      </c>
      <c r="I151" s="24"/>
    </row>
    <row r="152" spans="1:9" s="6" customFormat="1" ht="33.75" customHeight="1" x14ac:dyDescent="0.3">
      <c r="A152" s="25">
        <v>20</v>
      </c>
      <c r="B152" s="3">
        <v>700</v>
      </c>
      <c r="C152" s="3">
        <v>10</v>
      </c>
      <c r="D152" s="3" t="s">
        <v>197</v>
      </c>
      <c r="E152" s="4" t="s">
        <v>205</v>
      </c>
      <c r="F152" s="5" t="s">
        <v>135</v>
      </c>
      <c r="G152" s="12">
        <v>3000000</v>
      </c>
      <c r="H152" s="5" t="s">
        <v>200</v>
      </c>
      <c r="I152" s="24"/>
    </row>
    <row r="153" spans="1:9" s="6" customFormat="1" ht="36" customHeight="1" x14ac:dyDescent="0.3">
      <c r="A153" s="25">
        <v>14</v>
      </c>
      <c r="B153" s="3">
        <v>624</v>
      </c>
      <c r="C153" s="3">
        <v>11</v>
      </c>
      <c r="D153" s="3" t="s">
        <v>197</v>
      </c>
      <c r="E153" s="4" t="s">
        <v>205</v>
      </c>
      <c r="F153" s="5" t="s">
        <v>136</v>
      </c>
      <c r="G153" s="12">
        <v>1500000</v>
      </c>
      <c r="H153" s="5" t="s">
        <v>200</v>
      </c>
      <c r="I153" s="24"/>
    </row>
    <row r="154" spans="1:9" s="6" customFormat="1" ht="28.8" x14ac:dyDescent="0.3">
      <c r="A154" s="23">
        <v>8</v>
      </c>
      <c r="B154" s="8">
        <v>552</v>
      </c>
      <c r="C154" s="8">
        <v>12</v>
      </c>
      <c r="D154" s="8" t="s">
        <v>196</v>
      </c>
      <c r="E154" s="9" t="s">
        <v>205</v>
      </c>
      <c r="F154" s="10" t="s">
        <v>137</v>
      </c>
      <c r="G154" s="11">
        <v>235000</v>
      </c>
      <c r="H154" s="10" t="s">
        <v>210</v>
      </c>
      <c r="I154" s="24"/>
    </row>
    <row r="155" spans="1:9" s="6" customFormat="1" ht="28.8" x14ac:dyDescent="0.3">
      <c r="A155" s="23">
        <v>22</v>
      </c>
      <c r="B155" s="8">
        <v>518</v>
      </c>
      <c r="C155" s="8">
        <v>13</v>
      </c>
      <c r="D155" s="8" t="s">
        <v>196</v>
      </c>
      <c r="E155" s="9" t="s">
        <v>205</v>
      </c>
      <c r="F155" s="10" t="s">
        <v>138</v>
      </c>
      <c r="G155" s="11">
        <v>137000</v>
      </c>
      <c r="H155" s="10" t="s">
        <v>210</v>
      </c>
      <c r="I155" s="24"/>
    </row>
    <row r="156" spans="1:9" s="6" customFormat="1" ht="31.5" customHeight="1" x14ac:dyDescent="0.3">
      <c r="A156" s="23">
        <v>3</v>
      </c>
      <c r="B156" s="8">
        <v>490</v>
      </c>
      <c r="C156" s="8">
        <v>14</v>
      </c>
      <c r="D156" s="8" t="s">
        <v>196</v>
      </c>
      <c r="E156" s="9" t="s">
        <v>205</v>
      </c>
      <c r="F156" s="10" t="s">
        <v>139</v>
      </c>
      <c r="G156" s="11">
        <v>195000</v>
      </c>
      <c r="H156" s="10" t="s">
        <v>210</v>
      </c>
      <c r="I156" s="24"/>
    </row>
    <row r="157" spans="1:9" s="6" customFormat="1" ht="28.8" x14ac:dyDescent="0.3">
      <c r="A157" s="25">
        <v>16</v>
      </c>
      <c r="B157" s="3">
        <v>475</v>
      </c>
      <c r="C157" s="3">
        <v>15</v>
      </c>
      <c r="D157" s="3" t="s">
        <v>197</v>
      </c>
      <c r="E157" s="4" t="s">
        <v>205</v>
      </c>
      <c r="F157" s="5" t="s">
        <v>140</v>
      </c>
      <c r="G157" s="12">
        <v>1560000</v>
      </c>
      <c r="H157" s="5" t="s">
        <v>200</v>
      </c>
      <c r="I157" s="24"/>
    </row>
    <row r="158" spans="1:9" s="6" customFormat="1" ht="28.8" x14ac:dyDescent="0.3">
      <c r="A158" s="25">
        <v>1</v>
      </c>
      <c r="B158" s="3">
        <v>395</v>
      </c>
      <c r="C158" s="3">
        <v>16</v>
      </c>
      <c r="D158" s="3" t="s">
        <v>197</v>
      </c>
      <c r="E158" s="4" t="s">
        <v>205</v>
      </c>
      <c r="F158" s="5" t="s">
        <v>141</v>
      </c>
      <c r="G158" s="12">
        <v>1275000</v>
      </c>
      <c r="H158" s="5" t="s">
        <v>200</v>
      </c>
      <c r="I158" s="24"/>
    </row>
    <row r="159" spans="1:9" s="6" customFormat="1" ht="29.25" customHeight="1" x14ac:dyDescent="0.3">
      <c r="A159" s="25">
        <v>24</v>
      </c>
      <c r="B159" s="3">
        <v>391</v>
      </c>
      <c r="C159" s="3">
        <v>17</v>
      </c>
      <c r="D159" s="3" t="s">
        <v>197</v>
      </c>
      <c r="E159" s="4" t="s">
        <v>205</v>
      </c>
      <c r="F159" s="5" t="s">
        <v>142</v>
      </c>
      <c r="G159" s="12">
        <v>245000</v>
      </c>
      <c r="H159" s="5" t="s">
        <v>200</v>
      </c>
      <c r="I159" s="24"/>
    </row>
    <row r="160" spans="1:9" s="6" customFormat="1" ht="28.8" x14ac:dyDescent="0.3">
      <c r="A160" s="25">
        <v>25</v>
      </c>
      <c r="B160" s="3">
        <v>388</v>
      </c>
      <c r="C160" s="3">
        <v>18</v>
      </c>
      <c r="D160" s="3" t="s">
        <v>197</v>
      </c>
      <c r="E160" s="4" t="s">
        <v>205</v>
      </c>
      <c r="F160" s="5" t="s">
        <v>143</v>
      </c>
      <c r="G160" s="12">
        <v>186000</v>
      </c>
      <c r="H160" s="5" t="s">
        <v>200</v>
      </c>
      <c r="I160" s="24"/>
    </row>
    <row r="161" spans="1:9" s="6" customFormat="1" ht="28.8" x14ac:dyDescent="0.3">
      <c r="A161" s="25">
        <v>23</v>
      </c>
      <c r="B161" s="3">
        <v>356</v>
      </c>
      <c r="C161" s="3">
        <v>19</v>
      </c>
      <c r="D161" s="3" t="s">
        <v>197</v>
      </c>
      <c r="E161" s="4" t="s">
        <v>205</v>
      </c>
      <c r="F161" s="5" t="s">
        <v>144</v>
      </c>
      <c r="G161" s="12">
        <v>1180000</v>
      </c>
      <c r="H161" s="5" t="s">
        <v>200</v>
      </c>
      <c r="I161" s="24"/>
    </row>
    <row r="162" spans="1:9" s="6" customFormat="1" ht="28.8" x14ac:dyDescent="0.3">
      <c r="A162" s="25">
        <v>21</v>
      </c>
      <c r="B162" s="3">
        <v>310</v>
      </c>
      <c r="C162" s="3">
        <v>20</v>
      </c>
      <c r="D162" s="3" t="s">
        <v>197</v>
      </c>
      <c r="E162" s="4" t="s">
        <v>205</v>
      </c>
      <c r="F162" s="5" t="s">
        <v>145</v>
      </c>
      <c r="G162" s="12">
        <v>3000000</v>
      </c>
      <c r="H162" s="5" t="s">
        <v>200</v>
      </c>
      <c r="I162" s="24"/>
    </row>
    <row r="163" spans="1:9" s="6" customFormat="1" ht="28.8" x14ac:dyDescent="0.3">
      <c r="A163" s="25">
        <v>17</v>
      </c>
      <c r="B163" s="3">
        <v>292</v>
      </c>
      <c r="C163" s="3">
        <v>21</v>
      </c>
      <c r="D163" s="3" t="s">
        <v>197</v>
      </c>
      <c r="E163" s="4" t="s">
        <v>205</v>
      </c>
      <c r="F163" s="5" t="s">
        <v>146</v>
      </c>
      <c r="G163" s="12">
        <v>965000</v>
      </c>
      <c r="H163" s="5" t="s">
        <v>200</v>
      </c>
      <c r="I163" s="24"/>
    </row>
    <row r="164" spans="1:9" s="6" customFormat="1" ht="28.5" customHeight="1" x14ac:dyDescent="0.3">
      <c r="A164" s="25">
        <v>9</v>
      </c>
      <c r="B164" s="3">
        <v>224</v>
      </c>
      <c r="C164" s="3">
        <v>22</v>
      </c>
      <c r="D164" s="3" t="s">
        <v>197</v>
      </c>
      <c r="E164" s="4" t="s">
        <v>205</v>
      </c>
      <c r="F164" s="5" t="s">
        <v>58</v>
      </c>
      <c r="G164" s="12">
        <v>2283750</v>
      </c>
      <c r="H164" s="5" t="s">
        <v>200</v>
      </c>
      <c r="I164" s="24"/>
    </row>
    <row r="165" spans="1:9" s="6" customFormat="1" ht="28.8" x14ac:dyDescent="0.3">
      <c r="A165" s="25">
        <v>11</v>
      </c>
      <c r="B165" s="3">
        <v>199</v>
      </c>
      <c r="C165" s="3">
        <v>23</v>
      </c>
      <c r="D165" s="3" t="s">
        <v>197</v>
      </c>
      <c r="E165" s="4" t="s">
        <v>205</v>
      </c>
      <c r="F165" s="5" t="s">
        <v>147</v>
      </c>
      <c r="G165" s="12">
        <v>1300000</v>
      </c>
      <c r="H165" s="5" t="s">
        <v>200</v>
      </c>
      <c r="I165" s="24"/>
    </row>
    <row r="166" spans="1:9" s="6" customFormat="1" ht="28.8" x14ac:dyDescent="0.3">
      <c r="A166" s="25">
        <v>29</v>
      </c>
      <c r="B166" s="3">
        <v>187</v>
      </c>
      <c r="C166" s="3">
        <v>24</v>
      </c>
      <c r="D166" s="3" t="s">
        <v>197</v>
      </c>
      <c r="E166" s="4" t="s">
        <v>205</v>
      </c>
      <c r="F166" s="5" t="s">
        <v>148</v>
      </c>
      <c r="G166" s="12">
        <v>2341822</v>
      </c>
      <c r="H166" s="5" t="s">
        <v>200</v>
      </c>
      <c r="I166" s="24"/>
    </row>
    <row r="167" spans="1:9" s="6" customFormat="1" ht="28.8" x14ac:dyDescent="0.3">
      <c r="A167" s="25">
        <v>5</v>
      </c>
      <c r="B167" s="3">
        <v>166</v>
      </c>
      <c r="C167" s="3">
        <v>25</v>
      </c>
      <c r="D167" s="3" t="s">
        <v>197</v>
      </c>
      <c r="E167" s="4" t="s">
        <v>205</v>
      </c>
      <c r="F167" s="5" t="s">
        <v>149</v>
      </c>
      <c r="G167" s="12">
        <v>1045000</v>
      </c>
      <c r="H167" s="5" t="s">
        <v>200</v>
      </c>
      <c r="I167" s="24"/>
    </row>
    <row r="168" spans="1:9" s="6" customFormat="1" ht="28.8" x14ac:dyDescent="0.3">
      <c r="A168" s="25">
        <v>19</v>
      </c>
      <c r="B168" s="3">
        <v>160</v>
      </c>
      <c r="C168" s="3">
        <v>26</v>
      </c>
      <c r="D168" s="3" t="s">
        <v>197</v>
      </c>
      <c r="E168" s="4" t="s">
        <v>205</v>
      </c>
      <c r="F168" s="5" t="s">
        <v>150</v>
      </c>
      <c r="G168" s="12">
        <v>3000000</v>
      </c>
      <c r="H168" s="5" t="s">
        <v>200</v>
      </c>
      <c r="I168" s="24"/>
    </row>
    <row r="169" spans="1:9" s="6" customFormat="1" ht="28.8" x14ac:dyDescent="0.3">
      <c r="A169" s="25">
        <v>26</v>
      </c>
      <c r="B169" s="3">
        <v>99</v>
      </c>
      <c r="C169" s="3">
        <v>27</v>
      </c>
      <c r="D169" s="3" t="s">
        <v>197</v>
      </c>
      <c r="E169" s="4" t="s">
        <v>205</v>
      </c>
      <c r="F169" s="5" t="s">
        <v>151</v>
      </c>
      <c r="G169" s="12">
        <v>650000</v>
      </c>
      <c r="H169" s="5" t="s">
        <v>200</v>
      </c>
      <c r="I169" s="24"/>
    </row>
    <row r="170" spans="1:9" s="6" customFormat="1" ht="24.75" customHeight="1" x14ac:dyDescent="0.3">
      <c r="A170" s="25">
        <v>27</v>
      </c>
      <c r="B170" s="3">
        <v>94</v>
      </c>
      <c r="C170" s="3">
        <v>28</v>
      </c>
      <c r="D170" s="3" t="s">
        <v>197</v>
      </c>
      <c r="E170" s="4" t="s">
        <v>205</v>
      </c>
      <c r="F170" s="5" t="s">
        <v>152</v>
      </c>
      <c r="G170" s="12">
        <v>2268171</v>
      </c>
      <c r="H170" s="5" t="s">
        <v>200</v>
      </c>
      <c r="I170" s="24"/>
    </row>
    <row r="171" spans="1:9" s="6" customFormat="1" ht="28.8" x14ac:dyDescent="0.3">
      <c r="A171" s="25">
        <v>31</v>
      </c>
      <c r="B171" s="3">
        <v>94</v>
      </c>
      <c r="C171" s="3">
        <v>29</v>
      </c>
      <c r="D171" s="3" t="s">
        <v>197</v>
      </c>
      <c r="E171" s="4" t="s">
        <v>205</v>
      </c>
      <c r="F171" s="5" t="s">
        <v>153</v>
      </c>
      <c r="G171" s="12">
        <v>355306</v>
      </c>
      <c r="H171" s="5" t="s">
        <v>200</v>
      </c>
      <c r="I171" s="24"/>
    </row>
    <row r="172" spans="1:9" s="6" customFormat="1" ht="28.8" x14ac:dyDescent="0.3">
      <c r="A172" s="25">
        <v>30</v>
      </c>
      <c r="B172" s="3">
        <v>88</v>
      </c>
      <c r="C172" s="3">
        <v>30</v>
      </c>
      <c r="D172" s="3" t="s">
        <v>197</v>
      </c>
      <c r="E172" s="4" t="s">
        <v>205</v>
      </c>
      <c r="F172" s="5" t="s">
        <v>154</v>
      </c>
      <c r="G172" s="12">
        <v>420000</v>
      </c>
      <c r="H172" s="5" t="s">
        <v>200</v>
      </c>
      <c r="I172" s="24"/>
    </row>
    <row r="173" spans="1:9" s="6" customFormat="1" ht="30" customHeight="1" thickBot="1" x14ac:dyDescent="0.35">
      <c r="A173" s="26">
        <v>12</v>
      </c>
      <c r="B173" s="27">
        <v>80</v>
      </c>
      <c r="C173" s="27">
        <v>31</v>
      </c>
      <c r="D173" s="27" t="s">
        <v>197</v>
      </c>
      <c r="E173" s="28" t="s">
        <v>205</v>
      </c>
      <c r="F173" s="29" t="s">
        <v>155</v>
      </c>
      <c r="G173" s="30">
        <v>3000000</v>
      </c>
      <c r="H173" s="29" t="s">
        <v>200</v>
      </c>
      <c r="I173" s="36">
        <f>SUM(G156,G155,G154,G151,G147,G146,G145,G144,G143)</f>
        <v>14373250</v>
      </c>
    </row>
    <row r="174" spans="1:9" ht="28.8" x14ac:dyDescent="0.3">
      <c r="A174" s="17">
        <v>8</v>
      </c>
      <c r="B174" s="18">
        <v>2789</v>
      </c>
      <c r="C174" s="18">
        <v>1</v>
      </c>
      <c r="D174" s="18" t="s">
        <v>196</v>
      </c>
      <c r="E174" s="19" t="s">
        <v>206</v>
      </c>
      <c r="F174" s="20" t="s">
        <v>156</v>
      </c>
      <c r="G174" s="21">
        <v>3000000</v>
      </c>
      <c r="H174" s="20" t="s">
        <v>210</v>
      </c>
      <c r="I174" s="31"/>
    </row>
    <row r="175" spans="1:9" ht="26.25" customHeight="1" x14ac:dyDescent="0.3">
      <c r="A175" s="23">
        <v>10</v>
      </c>
      <c r="B175" s="8">
        <v>2100</v>
      </c>
      <c r="C175" s="8">
        <v>2</v>
      </c>
      <c r="D175" s="8" t="s">
        <v>196</v>
      </c>
      <c r="E175" s="9" t="s">
        <v>206</v>
      </c>
      <c r="F175" s="10" t="s">
        <v>157</v>
      </c>
      <c r="G175" s="11">
        <v>3000000</v>
      </c>
      <c r="H175" s="10" t="s">
        <v>210</v>
      </c>
      <c r="I175" s="33"/>
    </row>
    <row r="176" spans="1:9" ht="28.8" x14ac:dyDescent="0.3">
      <c r="A176" s="23">
        <v>7</v>
      </c>
      <c r="B176" s="8">
        <v>2059</v>
      </c>
      <c r="C176" s="8">
        <v>3</v>
      </c>
      <c r="D176" s="8" t="s">
        <v>196</v>
      </c>
      <c r="E176" s="9" t="s">
        <v>206</v>
      </c>
      <c r="F176" s="10" t="s">
        <v>158</v>
      </c>
      <c r="G176" s="11">
        <v>3000000</v>
      </c>
      <c r="H176" s="10" t="s">
        <v>210</v>
      </c>
      <c r="I176" s="33"/>
    </row>
    <row r="177" spans="1:9" ht="28.8" x14ac:dyDescent="0.3">
      <c r="A177" s="23">
        <v>19</v>
      </c>
      <c r="B177" s="8">
        <v>1370</v>
      </c>
      <c r="C177" s="8">
        <v>4</v>
      </c>
      <c r="D177" s="8" t="s">
        <v>196</v>
      </c>
      <c r="E177" s="9" t="s">
        <v>206</v>
      </c>
      <c r="F177" s="10" t="s">
        <v>159</v>
      </c>
      <c r="G177" s="11">
        <v>3000000</v>
      </c>
      <c r="H177" s="10" t="s">
        <v>210</v>
      </c>
      <c r="I177" s="33"/>
    </row>
    <row r="178" spans="1:9" ht="28.8" x14ac:dyDescent="0.3">
      <c r="A178" s="23">
        <v>1</v>
      </c>
      <c r="B178" s="8">
        <v>974</v>
      </c>
      <c r="C178" s="8">
        <v>5</v>
      </c>
      <c r="D178" s="8" t="s">
        <v>196</v>
      </c>
      <c r="E178" s="9" t="s">
        <v>206</v>
      </c>
      <c r="F178" s="10" t="s">
        <v>160</v>
      </c>
      <c r="G178" s="11">
        <v>1540000</v>
      </c>
      <c r="H178" s="10" t="s">
        <v>210</v>
      </c>
      <c r="I178" s="33"/>
    </row>
    <row r="179" spans="1:9" ht="28.8" x14ac:dyDescent="0.3">
      <c r="A179" s="25">
        <v>9</v>
      </c>
      <c r="B179" s="3">
        <v>917</v>
      </c>
      <c r="C179" s="3">
        <v>6</v>
      </c>
      <c r="D179" s="3" t="s">
        <v>197</v>
      </c>
      <c r="E179" s="4" t="s">
        <v>206</v>
      </c>
      <c r="F179" s="5" t="s">
        <v>161</v>
      </c>
      <c r="G179" s="12">
        <v>3000000</v>
      </c>
      <c r="H179" s="5" t="s">
        <v>200</v>
      </c>
      <c r="I179" s="33"/>
    </row>
    <row r="180" spans="1:9" ht="28.8" x14ac:dyDescent="0.3">
      <c r="A180" s="25">
        <v>12</v>
      </c>
      <c r="B180" s="3">
        <v>900</v>
      </c>
      <c r="C180" s="3">
        <v>7</v>
      </c>
      <c r="D180" s="3" t="s">
        <v>197</v>
      </c>
      <c r="E180" s="4" t="s">
        <v>206</v>
      </c>
      <c r="F180" s="5" t="s">
        <v>162</v>
      </c>
      <c r="G180" s="12">
        <v>3000000</v>
      </c>
      <c r="H180" s="5" t="s">
        <v>200</v>
      </c>
      <c r="I180" s="33"/>
    </row>
    <row r="181" spans="1:9" ht="28.8" x14ac:dyDescent="0.3">
      <c r="A181" s="25">
        <v>13</v>
      </c>
      <c r="B181" s="3">
        <v>787</v>
      </c>
      <c r="C181" s="3">
        <v>8</v>
      </c>
      <c r="D181" s="3" t="s">
        <v>197</v>
      </c>
      <c r="E181" s="4" t="s">
        <v>206</v>
      </c>
      <c r="F181" s="5" t="s">
        <v>163</v>
      </c>
      <c r="G181" s="12">
        <v>2000000</v>
      </c>
      <c r="H181" s="5" t="s">
        <v>200</v>
      </c>
      <c r="I181" s="33"/>
    </row>
    <row r="182" spans="1:9" ht="22.5" customHeight="1" x14ac:dyDescent="0.3">
      <c r="A182" s="25">
        <v>4</v>
      </c>
      <c r="B182" s="3">
        <v>760</v>
      </c>
      <c r="C182" s="3">
        <v>9</v>
      </c>
      <c r="D182" s="3" t="s">
        <v>197</v>
      </c>
      <c r="E182" s="4" t="s">
        <v>206</v>
      </c>
      <c r="F182" s="5" t="s">
        <v>164</v>
      </c>
      <c r="G182" s="12">
        <v>1200000</v>
      </c>
      <c r="H182" s="5" t="s">
        <v>200</v>
      </c>
      <c r="I182" s="33"/>
    </row>
    <row r="183" spans="1:9" ht="28.8" x14ac:dyDescent="0.3">
      <c r="A183" s="25">
        <v>17</v>
      </c>
      <c r="B183" s="3">
        <v>633</v>
      </c>
      <c r="C183" s="3">
        <v>10</v>
      </c>
      <c r="D183" s="3" t="s">
        <v>197</v>
      </c>
      <c r="E183" s="4" t="s">
        <v>206</v>
      </c>
      <c r="F183" s="5" t="s">
        <v>165</v>
      </c>
      <c r="G183" s="12">
        <v>3000000</v>
      </c>
      <c r="H183" s="5" t="s">
        <v>200</v>
      </c>
      <c r="I183" s="33"/>
    </row>
    <row r="184" spans="1:9" ht="31.5" customHeight="1" x14ac:dyDescent="0.3">
      <c r="A184" s="25">
        <v>16</v>
      </c>
      <c r="B184" s="3">
        <v>588</v>
      </c>
      <c r="C184" s="3">
        <v>11</v>
      </c>
      <c r="D184" s="3" t="s">
        <v>197</v>
      </c>
      <c r="E184" s="4" t="s">
        <v>206</v>
      </c>
      <c r="F184" s="5" t="s">
        <v>166</v>
      </c>
      <c r="G184" s="12">
        <v>3000000</v>
      </c>
      <c r="H184" s="5" t="s">
        <v>200</v>
      </c>
      <c r="I184" s="33"/>
    </row>
    <row r="185" spans="1:9" ht="30.75" customHeight="1" x14ac:dyDescent="0.3">
      <c r="A185" s="23">
        <v>27</v>
      </c>
      <c r="B185" s="8">
        <v>568</v>
      </c>
      <c r="C185" s="8">
        <v>12</v>
      </c>
      <c r="D185" s="8" t="s">
        <v>196</v>
      </c>
      <c r="E185" s="9" t="s">
        <v>206</v>
      </c>
      <c r="F185" s="10" t="s">
        <v>5</v>
      </c>
      <c r="G185" s="11">
        <v>738461</v>
      </c>
      <c r="H185" s="10" t="s">
        <v>210</v>
      </c>
      <c r="I185" s="33"/>
    </row>
    <row r="186" spans="1:9" ht="23.25" customHeight="1" x14ac:dyDescent="0.3">
      <c r="A186" s="25">
        <v>23</v>
      </c>
      <c r="B186" s="3">
        <v>526</v>
      </c>
      <c r="C186" s="3">
        <v>13</v>
      </c>
      <c r="D186" s="3" t="s">
        <v>197</v>
      </c>
      <c r="E186" s="4" t="s">
        <v>206</v>
      </c>
      <c r="F186" s="5" t="s">
        <v>32</v>
      </c>
      <c r="G186" s="12">
        <v>3000000</v>
      </c>
      <c r="H186" s="5" t="s">
        <v>200</v>
      </c>
      <c r="I186" s="33"/>
    </row>
    <row r="187" spans="1:9" ht="28.8" x14ac:dyDescent="0.3">
      <c r="A187" s="25">
        <v>11</v>
      </c>
      <c r="B187" s="3">
        <v>510</v>
      </c>
      <c r="C187" s="3">
        <v>14</v>
      </c>
      <c r="D187" s="3" t="s">
        <v>197</v>
      </c>
      <c r="E187" s="4" t="s">
        <v>206</v>
      </c>
      <c r="F187" s="5" t="s">
        <v>167</v>
      </c>
      <c r="G187" s="12">
        <v>450000</v>
      </c>
      <c r="H187" s="5" t="s">
        <v>200</v>
      </c>
      <c r="I187" s="33"/>
    </row>
    <row r="188" spans="1:9" ht="28.8" x14ac:dyDescent="0.3">
      <c r="A188" s="25">
        <v>21</v>
      </c>
      <c r="B188" s="3">
        <v>501</v>
      </c>
      <c r="C188" s="3">
        <v>15</v>
      </c>
      <c r="D188" s="3" t="s">
        <v>197</v>
      </c>
      <c r="E188" s="4" t="s">
        <v>206</v>
      </c>
      <c r="F188" s="5" t="s">
        <v>168</v>
      </c>
      <c r="G188" s="12">
        <v>2000000</v>
      </c>
      <c r="H188" s="5" t="s">
        <v>200</v>
      </c>
      <c r="I188" s="33"/>
    </row>
    <row r="189" spans="1:9" ht="28.8" x14ac:dyDescent="0.3">
      <c r="A189" s="25">
        <v>22</v>
      </c>
      <c r="B189" s="3">
        <v>479</v>
      </c>
      <c r="C189" s="3">
        <v>16</v>
      </c>
      <c r="D189" s="3" t="s">
        <v>197</v>
      </c>
      <c r="E189" s="4" t="s">
        <v>206</v>
      </c>
      <c r="F189" s="5" t="s">
        <v>169</v>
      </c>
      <c r="G189" s="12">
        <v>838000</v>
      </c>
      <c r="H189" s="5" t="s">
        <v>200</v>
      </c>
      <c r="I189" s="33"/>
    </row>
    <row r="190" spans="1:9" ht="28.8" x14ac:dyDescent="0.3">
      <c r="A190" s="25">
        <v>5</v>
      </c>
      <c r="B190" s="3">
        <v>468</v>
      </c>
      <c r="C190" s="3">
        <v>17</v>
      </c>
      <c r="D190" s="3" t="s">
        <v>197</v>
      </c>
      <c r="E190" s="4" t="s">
        <v>206</v>
      </c>
      <c r="F190" s="5" t="s">
        <v>170</v>
      </c>
      <c r="G190" s="12">
        <v>1248000</v>
      </c>
      <c r="H190" s="5" t="s">
        <v>200</v>
      </c>
      <c r="I190" s="33"/>
    </row>
    <row r="191" spans="1:9" ht="28.8" x14ac:dyDescent="0.3">
      <c r="A191" s="25">
        <v>20</v>
      </c>
      <c r="B191" s="3">
        <v>458</v>
      </c>
      <c r="C191" s="3">
        <v>18</v>
      </c>
      <c r="D191" s="3" t="s">
        <v>197</v>
      </c>
      <c r="E191" s="4" t="s">
        <v>206</v>
      </c>
      <c r="F191" s="5" t="s">
        <v>171</v>
      </c>
      <c r="G191" s="12">
        <v>1450000</v>
      </c>
      <c r="H191" s="5" t="s">
        <v>200</v>
      </c>
      <c r="I191" s="33"/>
    </row>
    <row r="192" spans="1:9" ht="25.5" customHeight="1" x14ac:dyDescent="0.3">
      <c r="A192" s="25">
        <v>6</v>
      </c>
      <c r="B192" s="3">
        <v>454</v>
      </c>
      <c r="C192" s="3">
        <v>19</v>
      </c>
      <c r="D192" s="3" t="s">
        <v>197</v>
      </c>
      <c r="E192" s="4" t="s">
        <v>206</v>
      </c>
      <c r="F192" s="5" t="s">
        <v>58</v>
      </c>
      <c r="G192" s="12">
        <v>1522500</v>
      </c>
      <c r="H192" s="5" t="s">
        <v>200</v>
      </c>
      <c r="I192" s="33"/>
    </row>
    <row r="193" spans="1:9" ht="25.5" customHeight="1" x14ac:dyDescent="0.3">
      <c r="A193" s="25">
        <v>14</v>
      </c>
      <c r="B193" s="3">
        <v>362</v>
      </c>
      <c r="C193" s="3">
        <v>20</v>
      </c>
      <c r="D193" s="3" t="s">
        <v>197</v>
      </c>
      <c r="E193" s="4" t="s">
        <v>206</v>
      </c>
      <c r="F193" s="5" t="s">
        <v>172</v>
      </c>
      <c r="G193" s="12">
        <v>2000000</v>
      </c>
      <c r="H193" s="5" t="s">
        <v>200</v>
      </c>
      <c r="I193" s="33"/>
    </row>
    <row r="194" spans="1:9" ht="28.8" x14ac:dyDescent="0.3">
      <c r="A194" s="25">
        <v>2</v>
      </c>
      <c r="B194" s="3">
        <v>355</v>
      </c>
      <c r="C194" s="3">
        <v>21</v>
      </c>
      <c r="D194" s="3" t="s">
        <v>197</v>
      </c>
      <c r="E194" s="4" t="s">
        <v>206</v>
      </c>
      <c r="F194" s="5" t="s">
        <v>173</v>
      </c>
      <c r="G194" s="12">
        <v>784000</v>
      </c>
      <c r="H194" s="5" t="s">
        <v>200</v>
      </c>
      <c r="I194" s="33"/>
    </row>
    <row r="195" spans="1:9" ht="26.25" customHeight="1" x14ac:dyDescent="0.3">
      <c r="A195" s="25">
        <v>15</v>
      </c>
      <c r="B195" s="3">
        <v>279</v>
      </c>
      <c r="C195" s="3">
        <v>22</v>
      </c>
      <c r="D195" s="3" t="s">
        <v>197</v>
      </c>
      <c r="E195" s="4" t="s">
        <v>206</v>
      </c>
      <c r="F195" s="5" t="s">
        <v>174</v>
      </c>
      <c r="G195" s="12">
        <v>2400000</v>
      </c>
      <c r="H195" s="5" t="s">
        <v>200</v>
      </c>
      <c r="I195" s="33"/>
    </row>
    <row r="196" spans="1:9" ht="28.8" x14ac:dyDescent="0.3">
      <c r="A196" s="25">
        <v>3</v>
      </c>
      <c r="B196" s="3">
        <v>202</v>
      </c>
      <c r="C196" s="3">
        <v>23</v>
      </c>
      <c r="D196" s="3" t="s">
        <v>197</v>
      </c>
      <c r="E196" s="4" t="s">
        <v>206</v>
      </c>
      <c r="F196" s="5" t="s">
        <v>175</v>
      </c>
      <c r="G196" s="12">
        <v>343000</v>
      </c>
      <c r="H196" s="5" t="s">
        <v>200</v>
      </c>
      <c r="I196" s="33"/>
    </row>
    <row r="197" spans="1:9" ht="30.75" customHeight="1" x14ac:dyDescent="0.3">
      <c r="A197" s="23">
        <v>24</v>
      </c>
      <c r="B197" s="8">
        <v>159</v>
      </c>
      <c r="C197" s="8">
        <v>24</v>
      </c>
      <c r="D197" s="8" t="s">
        <v>196</v>
      </c>
      <c r="E197" s="9" t="s">
        <v>206</v>
      </c>
      <c r="F197" s="10" t="s">
        <v>176</v>
      </c>
      <c r="G197" s="11">
        <v>43400</v>
      </c>
      <c r="H197" s="10" t="s">
        <v>210</v>
      </c>
      <c r="I197" s="33"/>
    </row>
    <row r="198" spans="1:9" ht="28.8" x14ac:dyDescent="0.3">
      <c r="A198" s="25">
        <v>18</v>
      </c>
      <c r="B198" s="3">
        <v>139</v>
      </c>
      <c r="C198" s="3">
        <v>25</v>
      </c>
      <c r="D198" s="3" t="s">
        <v>197</v>
      </c>
      <c r="E198" s="4" t="s">
        <v>206</v>
      </c>
      <c r="F198" s="5" t="s">
        <v>115</v>
      </c>
      <c r="G198" s="12">
        <v>504000</v>
      </c>
      <c r="H198" s="5" t="s">
        <v>200</v>
      </c>
      <c r="I198" s="33"/>
    </row>
    <row r="199" spans="1:9" ht="28.8" x14ac:dyDescent="0.3">
      <c r="A199" s="25">
        <v>28</v>
      </c>
      <c r="B199" s="3">
        <v>134</v>
      </c>
      <c r="C199" s="3">
        <v>26</v>
      </c>
      <c r="D199" s="3" t="s">
        <v>197</v>
      </c>
      <c r="E199" s="4" t="s">
        <v>206</v>
      </c>
      <c r="F199" s="5" t="s">
        <v>177</v>
      </c>
      <c r="G199" s="12">
        <v>2671200</v>
      </c>
      <c r="H199" s="5" t="s">
        <v>200</v>
      </c>
      <c r="I199" s="33"/>
    </row>
    <row r="200" spans="1:9" ht="30" customHeight="1" x14ac:dyDescent="0.3">
      <c r="A200" s="25">
        <v>25</v>
      </c>
      <c r="B200" s="3">
        <v>77</v>
      </c>
      <c r="C200" s="3">
        <v>27</v>
      </c>
      <c r="D200" s="3" t="s">
        <v>197</v>
      </c>
      <c r="E200" s="4" t="s">
        <v>206</v>
      </c>
      <c r="F200" s="5" t="s">
        <v>178</v>
      </c>
      <c r="G200" s="12">
        <v>385000</v>
      </c>
      <c r="H200" s="5" t="s">
        <v>200</v>
      </c>
      <c r="I200" s="33"/>
    </row>
    <row r="201" spans="1:9" ht="30" customHeight="1" thickBot="1" x14ac:dyDescent="0.35">
      <c r="A201" s="26">
        <v>26</v>
      </c>
      <c r="B201" s="27">
        <v>62</v>
      </c>
      <c r="C201" s="27">
        <v>28</v>
      </c>
      <c r="D201" s="27" t="s">
        <v>197</v>
      </c>
      <c r="E201" s="28" t="s">
        <v>206</v>
      </c>
      <c r="F201" s="29" t="s">
        <v>179</v>
      </c>
      <c r="G201" s="30">
        <v>100000</v>
      </c>
      <c r="H201" s="29" t="s">
        <v>200</v>
      </c>
      <c r="I201" s="36">
        <f>SUM(G197,G185,G178,G177,G176,G175,G174)</f>
        <v>14321861</v>
      </c>
    </row>
    <row r="202" spans="1:9" ht="33" customHeight="1" x14ac:dyDescent="0.3">
      <c r="A202" s="17">
        <v>12</v>
      </c>
      <c r="B202" s="18">
        <v>992</v>
      </c>
      <c r="C202" s="18">
        <v>1</v>
      </c>
      <c r="D202" s="18" t="s">
        <v>196</v>
      </c>
      <c r="E202" s="19" t="s">
        <v>207</v>
      </c>
      <c r="F202" s="20" t="s">
        <v>180</v>
      </c>
      <c r="G202" s="21">
        <v>1850000</v>
      </c>
      <c r="H202" s="20" t="s">
        <v>210</v>
      </c>
      <c r="I202" s="31"/>
    </row>
    <row r="203" spans="1:9" ht="33" customHeight="1" x14ac:dyDescent="0.3">
      <c r="A203" s="23">
        <v>4</v>
      </c>
      <c r="B203" s="8">
        <v>267</v>
      </c>
      <c r="C203" s="8">
        <v>2</v>
      </c>
      <c r="D203" s="8" t="s">
        <v>196</v>
      </c>
      <c r="E203" s="9" t="s">
        <v>207</v>
      </c>
      <c r="F203" s="10" t="s">
        <v>181</v>
      </c>
      <c r="G203" s="11">
        <v>985000</v>
      </c>
      <c r="H203" s="10" t="s">
        <v>210</v>
      </c>
      <c r="I203" s="33"/>
    </row>
    <row r="204" spans="1:9" ht="33" customHeight="1" x14ac:dyDescent="0.3">
      <c r="A204" s="23">
        <v>7</v>
      </c>
      <c r="B204" s="8">
        <v>225</v>
      </c>
      <c r="C204" s="8">
        <v>3</v>
      </c>
      <c r="D204" s="8" t="s">
        <v>196</v>
      </c>
      <c r="E204" s="9" t="s">
        <v>207</v>
      </c>
      <c r="F204" s="10" t="s">
        <v>182</v>
      </c>
      <c r="G204" s="11">
        <v>2000000</v>
      </c>
      <c r="H204" s="10" t="s">
        <v>210</v>
      </c>
      <c r="I204" s="33"/>
    </row>
    <row r="205" spans="1:9" ht="33" customHeight="1" x14ac:dyDescent="0.3">
      <c r="A205" s="23">
        <v>13</v>
      </c>
      <c r="B205" s="8">
        <v>212</v>
      </c>
      <c r="C205" s="8">
        <v>4</v>
      </c>
      <c r="D205" s="8" t="s">
        <v>196</v>
      </c>
      <c r="E205" s="9" t="s">
        <v>207</v>
      </c>
      <c r="F205" s="10" t="s">
        <v>183</v>
      </c>
      <c r="G205" s="11">
        <v>3000000</v>
      </c>
      <c r="H205" s="10" t="s">
        <v>210</v>
      </c>
      <c r="I205" s="33"/>
    </row>
    <row r="206" spans="1:9" ht="33" customHeight="1" x14ac:dyDescent="0.3">
      <c r="A206" s="23">
        <v>1</v>
      </c>
      <c r="B206" s="8">
        <v>146</v>
      </c>
      <c r="C206" s="8">
        <v>5</v>
      </c>
      <c r="D206" s="8" t="s">
        <v>196</v>
      </c>
      <c r="E206" s="9" t="s">
        <v>207</v>
      </c>
      <c r="F206" s="10" t="s">
        <v>184</v>
      </c>
      <c r="G206" s="11">
        <v>689000</v>
      </c>
      <c r="H206" s="10" t="s">
        <v>210</v>
      </c>
      <c r="I206" s="33"/>
    </row>
    <row r="207" spans="1:9" ht="33" customHeight="1" x14ac:dyDescent="0.3">
      <c r="A207" s="25">
        <v>3</v>
      </c>
      <c r="B207" s="3">
        <v>128</v>
      </c>
      <c r="C207" s="3">
        <v>6</v>
      </c>
      <c r="D207" s="3" t="s">
        <v>197</v>
      </c>
      <c r="E207" s="4" t="s">
        <v>207</v>
      </c>
      <c r="F207" s="5" t="s">
        <v>185</v>
      </c>
      <c r="G207" s="15">
        <v>3000000</v>
      </c>
      <c r="H207" s="5" t="s">
        <v>200</v>
      </c>
      <c r="I207" s="33"/>
    </row>
    <row r="208" spans="1:9" ht="33" customHeight="1" x14ac:dyDescent="0.3">
      <c r="A208" s="23">
        <v>6</v>
      </c>
      <c r="B208" s="8">
        <v>111</v>
      </c>
      <c r="C208" s="8">
        <v>7</v>
      </c>
      <c r="D208" s="8" t="s">
        <v>196</v>
      </c>
      <c r="E208" s="9" t="s">
        <v>207</v>
      </c>
      <c r="F208" s="10" t="s">
        <v>186</v>
      </c>
      <c r="G208" s="11">
        <v>600000</v>
      </c>
      <c r="H208" s="10" t="s">
        <v>210</v>
      </c>
      <c r="I208" s="33"/>
    </row>
    <row r="209" spans="1:9" ht="33" customHeight="1" x14ac:dyDescent="0.3">
      <c r="A209" s="25">
        <v>8</v>
      </c>
      <c r="B209" s="3">
        <v>83</v>
      </c>
      <c r="C209" s="3">
        <v>8</v>
      </c>
      <c r="D209" s="3" t="s">
        <v>197</v>
      </c>
      <c r="E209" s="4" t="s">
        <v>207</v>
      </c>
      <c r="F209" s="5" t="s">
        <v>187</v>
      </c>
      <c r="G209" s="12">
        <v>2000000</v>
      </c>
      <c r="H209" s="5" t="s">
        <v>200</v>
      </c>
      <c r="I209" s="33"/>
    </row>
    <row r="210" spans="1:9" ht="33" customHeight="1" x14ac:dyDescent="0.3">
      <c r="A210" s="25">
        <v>11</v>
      </c>
      <c r="B210" s="3">
        <v>70</v>
      </c>
      <c r="C210" s="3">
        <v>9</v>
      </c>
      <c r="D210" s="3" t="s">
        <v>197</v>
      </c>
      <c r="E210" s="4" t="s">
        <v>207</v>
      </c>
      <c r="F210" s="5" t="s">
        <v>188</v>
      </c>
      <c r="G210" s="12">
        <v>3000000</v>
      </c>
      <c r="H210" s="5" t="s">
        <v>200</v>
      </c>
      <c r="I210" s="33"/>
    </row>
    <row r="211" spans="1:9" ht="33" customHeight="1" x14ac:dyDescent="0.3">
      <c r="A211" s="25">
        <v>10</v>
      </c>
      <c r="B211" s="3">
        <v>66</v>
      </c>
      <c r="C211" s="3">
        <v>10</v>
      </c>
      <c r="D211" s="3" t="s">
        <v>197</v>
      </c>
      <c r="E211" s="4" t="s">
        <v>207</v>
      </c>
      <c r="F211" s="5" t="s">
        <v>189</v>
      </c>
      <c r="G211" s="12">
        <v>2966700</v>
      </c>
      <c r="H211" s="5" t="s">
        <v>200</v>
      </c>
      <c r="I211" s="33"/>
    </row>
    <row r="212" spans="1:9" ht="33" customHeight="1" x14ac:dyDescent="0.3">
      <c r="A212" s="23">
        <v>5</v>
      </c>
      <c r="B212" s="8">
        <v>57</v>
      </c>
      <c r="C212" s="8">
        <v>11</v>
      </c>
      <c r="D212" s="8" t="s">
        <v>196</v>
      </c>
      <c r="E212" s="9" t="s">
        <v>207</v>
      </c>
      <c r="F212" s="10" t="s">
        <v>11</v>
      </c>
      <c r="G212" s="11">
        <v>180000</v>
      </c>
      <c r="H212" s="10" t="s">
        <v>210</v>
      </c>
      <c r="I212" s="33"/>
    </row>
    <row r="213" spans="1:9" ht="33" customHeight="1" x14ac:dyDescent="0.3">
      <c r="A213" s="25">
        <v>2</v>
      </c>
      <c r="B213" s="3">
        <v>53</v>
      </c>
      <c r="C213" s="3">
        <v>12</v>
      </c>
      <c r="D213" s="3" t="s">
        <v>197</v>
      </c>
      <c r="E213" s="4" t="s">
        <v>207</v>
      </c>
      <c r="F213" s="5" t="s">
        <v>58</v>
      </c>
      <c r="G213" s="12">
        <v>1522500</v>
      </c>
      <c r="H213" s="5" t="s">
        <v>200</v>
      </c>
      <c r="I213" s="33"/>
    </row>
    <row r="214" spans="1:9" ht="33" customHeight="1" thickBot="1" x14ac:dyDescent="0.35">
      <c r="A214" s="37">
        <v>9</v>
      </c>
      <c r="B214" s="38">
        <v>48</v>
      </c>
      <c r="C214" s="38">
        <v>13</v>
      </c>
      <c r="D214" s="38" t="s">
        <v>196</v>
      </c>
      <c r="E214" s="39" t="s">
        <v>207</v>
      </c>
      <c r="F214" s="40" t="s">
        <v>190</v>
      </c>
      <c r="G214" s="41">
        <v>80000</v>
      </c>
      <c r="H214" s="40" t="s">
        <v>210</v>
      </c>
      <c r="I214" s="36">
        <f>SUM(G214,G212,G208,G206,G205,G204,G203,G202)</f>
        <v>9384000</v>
      </c>
    </row>
  </sheetData>
  <pageMargins left="0.15748031496062992" right="0.15748031496062992" top="0.51181102362204722" bottom="0.15748031496062992" header="0.15748031496062992" footer="0.15748031496062992"/>
  <pageSetup paperSize="9" scale="78" fitToHeight="0" orientation="landscape" r:id="rId1"/>
  <headerFooter>
    <oddHeader>&amp;CRESULTADOS VOTACIÓN 2019&amp;R&amp;P DE &amp;N</oddHeader>
  </headerFooter>
  <ignoredErrors>
    <ignoredError sqref="I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resultados votación 2019</vt:lpstr>
      <vt:lpstr>'resultados votación 2019'!Área_de_impresión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Sofìa Carla Cerruti Romero</cp:lastModifiedBy>
  <cp:lastPrinted>2019-10-07T17:40:58Z</cp:lastPrinted>
  <dcterms:created xsi:type="dcterms:W3CDTF">2019-10-01T22:10:18Z</dcterms:created>
  <dcterms:modified xsi:type="dcterms:W3CDTF">2026-05-20T15:40:39Z</dcterms:modified>
</cp:coreProperties>
</file>