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mc:AlternateContent xmlns:mc="http://schemas.openxmlformats.org/markup-compatibility/2006">
    <mc:Choice Requires="x15">
      <x15ac:absPath xmlns:x15ac="http://schemas.microsoft.com/office/spreadsheetml/2010/11/ac" url="https://d.docs.live.net/f5fa8a9efe53b17c/Documentos/TP FINAL DATOS/"/>
    </mc:Choice>
  </mc:AlternateContent>
  <xr:revisionPtr revIDLastSave="0" documentId="13_ncr:1_{CCCC4F1F-83B2-4363-BB09-652BA17019C8}" xr6:coauthVersionLast="47" xr6:coauthVersionMax="47" xr10:uidLastSave="{00000000-0000-0000-0000-000000000000}"/>
  <bookViews>
    <workbookView minimized="1" xWindow="-204" yWindow="6420" windowWidth="17280" windowHeight="8880" xr2:uid="{00000000-000D-0000-FFFF-FFFF00000000}"/>
  </bookViews>
  <sheets>
    <sheet name="Worksheet" sheetId="1" r:id="rId1"/>
    <sheet name="Graficos" sheetId="2" r:id="rId2"/>
  </sheets>
  <definedNames>
    <definedName name="_xlnm._FilterDatabase" localSheetId="0" hidden="1">Worksheet!$A$1:$K$218</definedName>
    <definedName name="_xlnm.Print_Area" localSheetId="0">Worksheet!$A$1:$J$218</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2" l="1"/>
  <c r="D4" i="2"/>
  <c r="D5" i="2"/>
  <c r="D6" i="2"/>
  <c r="D3" i="2"/>
  <c r="B7" i="2"/>
  <c r="C7" i="2"/>
  <c r="D7" i="2" s="1"/>
  <c r="J178" i="1"/>
  <c r="J193" i="1"/>
  <c r="J139" i="1"/>
  <c r="J108" i="1"/>
  <c r="J52" i="1"/>
  <c r="J13" i="1"/>
  <c r="J30" i="1"/>
  <c r="J79" i="1"/>
  <c r="J215" i="1"/>
</calcChain>
</file>

<file path=xl/sharedStrings.xml><?xml version="1.0" encoding="utf-8"?>
<sst xmlns="http://schemas.openxmlformats.org/spreadsheetml/2006/main" count="1112" uniqueCount="409">
  <si>
    <t>Descripción</t>
  </si>
  <si>
    <t>Barrio</t>
  </si>
  <si>
    <t>Calles accesibles</t>
  </si>
  <si>
    <t>Instalación de rampas en esquinas del barrio, con prioridad a las que constituyan circuitos cercanos a centros comerciales, centros de salud e instituciones educativas.</t>
  </si>
  <si>
    <t>Vicente López</t>
  </si>
  <si>
    <t>Fundación Aylén</t>
  </si>
  <si>
    <t>Ampliación de consultorios para atención ambulatoria. LAPRIDA 1340.</t>
  </si>
  <si>
    <t>Asociación Senderos del Sembrador</t>
  </si>
  <si>
    <t>Construcción de un cerramiento en el patio existente para ser utilizado como sala de kinefilaxia y rehabilitación física. ARENALES 1318.</t>
  </si>
  <si>
    <t>Centro de Adultos Mayores Activos</t>
  </si>
  <si>
    <t>Nuevo tendido de alimentación y distribución eléctrica. J. CARLOS CRUZ 225.</t>
  </si>
  <si>
    <t>Cestos papeleros</t>
  </si>
  <si>
    <t>Adquisición y colocación de cestos papeleros en el barrio.</t>
  </si>
  <si>
    <t>Club ABC del Partido de Corcubión</t>
  </si>
  <si>
    <t>Patio de juegos para niños y elementos para la práctica de la calistenia. J.C. CRUZ 1871.</t>
  </si>
  <si>
    <t>Club de Caza, Pesca y Náutica Belgrano</t>
  </si>
  <si>
    <t>Cubierta para generar un nuevo gimnasio. SAN MARTIN 406.</t>
  </si>
  <si>
    <t>Club VILO</t>
  </si>
  <si>
    <t>Construcción de espacios para ser utilizados como dormis en el Club. B. CRUZ 1175.</t>
  </si>
  <si>
    <t>Dársenas para estacionamiento exclusivo</t>
  </si>
  <si>
    <t>Destinadas a personas con movilidad reducida sobre Av. Maipú.</t>
  </si>
  <si>
    <t>Escuela Secundaria N° 6 (Provincial)</t>
  </si>
  <si>
    <t>Realización de nueva vereda de la institución. A. ALVAREZ 1431.</t>
  </si>
  <si>
    <t>Compostera comunitaria</t>
  </si>
  <si>
    <t>Plaza Combatientes de Malvinas. Estará bajo supervisión del placero. AZCUÉNAGA Y J. PENNA.</t>
  </si>
  <si>
    <t>Grupo Scouts San Gabriel</t>
  </si>
  <si>
    <t>Adquisición de una escalera andamio, un equipo de sonido y en la reparación de las veredas de la institución. J. A. ROCA 510.</t>
  </si>
  <si>
    <t>La ecología comienza por casa</t>
  </si>
  <si>
    <t>Talleres de reciclaje y construcción de juguetes a desarrollarse en escuelas del barrio durante el 2022.</t>
  </si>
  <si>
    <t>Parque de Calistenia</t>
  </si>
  <si>
    <t>Adquisición e instalación de nueva iluminación. PASEO DE LA COSTA altura M.M. DE GÜEMES.</t>
  </si>
  <si>
    <t>Seguridad en el barrio</t>
  </si>
  <si>
    <t>Mejorar el equipamiento tecnológico (cámaras, puntos seguros, etc.)</t>
  </si>
  <si>
    <t>Seguridad vial en las 7 esquinas</t>
  </si>
  <si>
    <t>Señalamiento horizontal y vertical en la intersección de Italia, Tupac Amaru, Monasterio y Saavedra.</t>
  </si>
  <si>
    <t>Semáforo a demanda</t>
  </si>
  <si>
    <t>Instalación de un semáforo peatonal a demanda en el cruce de Azcuénaga y Melo.</t>
  </si>
  <si>
    <t>Semáforo completo</t>
  </si>
  <si>
    <t>En el cruce de San Martín y Monasterio.</t>
  </si>
  <si>
    <t xml:space="preserve">Huerta Comunitaria </t>
  </si>
  <si>
    <t>En 3 ubicaciones: Centro Recreativo de Adultos Mayores (J.C. CRUZ 150), AZCUÉNAGA e/ HAEDO Y PENNA y AZCUÉNAGA Y LAPRIDA. Estarán bajo la supervisión de la Dirección de Ambiente de la Municipalidad.</t>
  </si>
  <si>
    <t>Señalamiento vertical</t>
  </si>
  <si>
    <t>En Laprida y Segurola para mejorar la circulación vehicular y peatonal.</t>
  </si>
  <si>
    <t>Club Social y Deportivo Vélez</t>
  </si>
  <si>
    <t>Mejoras en el Salón de Usos Múltiples de la planta alta. NICARAGUA 5249.</t>
  </si>
  <si>
    <t>Munro</t>
  </si>
  <si>
    <t>Centro de la Tercera Edad "FFCC Belgrano"</t>
  </si>
  <si>
    <t>Modificaciones edilicias (remover cancha de bochas completar piso a nivel, cielorraso completo c/luminarias. Modificar baño y construir uno para discapacitados. Generar un office y una oficina de administración. Instalar una salida de emergencia. Proveer rejas para ventanas existentes. Modificar ventanas. GERVASIO MÉNDEZ 2602.</t>
  </si>
  <si>
    <t>Club Industrial de Munro</t>
  </si>
  <si>
    <t>Construcción de una losa para generar un salón en la planta alta. MENDOZA 2563.</t>
  </si>
  <si>
    <t xml:space="preserve">Divisoria con el Municipio de San Martin </t>
  </si>
  <si>
    <t>Reparar guardarail, ojos de gato, pintura reflectiva, repintar senda peatonal en Primera Junta y Rivera.</t>
  </si>
  <si>
    <t>Club Unión de Munro</t>
  </si>
  <si>
    <t>Reparación de veredas y modificación de la instalación eléctrica del Club. BELGRANO 2650.</t>
  </si>
  <si>
    <t>En Plaza Güemes (Sargento Cabral y R. Gutiérrez), estará bajo la supervisión del placero.</t>
  </si>
  <si>
    <t xml:space="preserve">Dársena para transporte público </t>
  </si>
  <si>
    <t>En San Lorenzo y Panamericana (lado Oeste).</t>
  </si>
  <si>
    <t>Centro de Jubilados "Gracias a la Vida"</t>
  </si>
  <si>
    <t>Adquisición de un mueble para guardado. VILLATE 3675.</t>
  </si>
  <si>
    <t>Centro de Jubilados, Pensionados y Tercera Edad "G. Posadas"</t>
  </si>
  <si>
    <t>Pintura para su sede, y provisión de mobiliario y vajilla. POSADAS 2443.</t>
  </si>
  <si>
    <t xml:space="preserve">Huerta comunitaria </t>
  </si>
  <si>
    <t>Se realizará en la Fundación Regenerar y contará con la supervisión de la Dirección de Ambiente de la Municipalidad. PELLIZA 4685.</t>
  </si>
  <si>
    <t>Centro Comercial Av. Vélez Sársfield (Oeste)</t>
  </si>
  <si>
    <t>Continuación del proyecto votado en 2019 de reparación de veredas y la puesta en valor del cartel identificador del centro comercial oeste.</t>
  </si>
  <si>
    <t>Centro Barrial de Juventud (sede Munro)</t>
  </si>
  <si>
    <t>Adquisición de equipamiento tecnológico para la sede. SARGENTO CABRAL 2880.</t>
  </si>
  <si>
    <t>Carrera de Enfermería Municipal</t>
  </si>
  <si>
    <t>Adquisición de equipamiento para la sala de simulación de la carrera de Enfermería Municipal. VILLATE 4480.</t>
  </si>
  <si>
    <t>Instalación de rampas en esquinas en Avalos (entorno Ugarte-San Lorenzo).</t>
  </si>
  <si>
    <t>Bulevar Santa Cruz</t>
  </si>
  <si>
    <t xml:space="preserve">Parquizado y mejoras del bulevar ubicado en Santa Cruz y Neuquén. </t>
  </si>
  <si>
    <t>Botellas de Amor</t>
  </si>
  <si>
    <t>Talleres organizados por la Dirección de Ambiente de la Municipalidad en escuelas y otras instituciones para promover el reciclado de plásticos de un solo uso.</t>
  </si>
  <si>
    <t>Biblioteca Tecnológica Pública</t>
  </si>
  <si>
    <t>Completar la parte edilicia y equiparla con mobiliario y equipos tecnológicos. La Biblioteca se encuentra a cargo del Instituto Integral de Munro. ALMAFUERTE al 4600.</t>
  </si>
  <si>
    <t>Biblioteca Salvador Bel</t>
  </si>
  <si>
    <t>Recuperación de material bibliográfico y mobiliario. VÉLEZ SARSFIELD 4198.</t>
  </si>
  <si>
    <t>Escuela de Educación Especial N° 504 (Provincial)</t>
  </si>
  <si>
    <t>Nuevos pizarrones y fibras para los mismos para todas las aulas. J.S.AGÜERO 2685.</t>
  </si>
  <si>
    <t>Escuela de Educación Especial N° 503 (Provincial)</t>
  </si>
  <si>
    <t>Cambio de aberturas y provisión de herrajes y señalética. MARCONI 3630.</t>
  </si>
  <si>
    <t>Jardín de Infantes N° 909 (Provincial)</t>
  </si>
  <si>
    <t>Remodelar el patio de juegos y pintar diversos sectores del Jardín. PASAJE LA VICTORIA 2423.</t>
  </si>
  <si>
    <t>Escuela de Educación Técnica N° 2 (Provincial)</t>
  </si>
  <si>
    <t>Mejoras edilicias menores y equipamiento informático. SARGENTO CABRAL 2778.</t>
  </si>
  <si>
    <t>Unión Vecinal y de Fomento Munro</t>
  </si>
  <si>
    <t>Construcción de losa en la planta alta para completar existente. ARMENIA 2590.</t>
  </si>
  <si>
    <t>Taller prenatal de lactancia materna</t>
  </si>
  <si>
    <t>Dirigido a adolescentes embarazadas a realizar en instituciones del barrio durante el 2022.</t>
  </si>
  <si>
    <t>Sociedad de Fomento y Social Munro</t>
  </si>
  <si>
    <t>Reparar entradas de agua en Gimnasio P.B., reparar baños afectados por las filtraciones, reparar colector pluvial gimnasio de P.A., reformas baños P.B., acondicionamiento de dos salones de la planta baja. POSADAS 2443</t>
  </si>
  <si>
    <t>Sociedad de Fomento Sargento Cabral</t>
  </si>
  <si>
    <t>Acondicionar los baños. SARGENTO CABRAL 3221.</t>
  </si>
  <si>
    <t>Sociedad de Fomento Grossville</t>
  </si>
  <si>
    <t>Construcción de un nuevo salón y reparación de la cubierta del salón de usos múltiples. VILLATE 3675.</t>
  </si>
  <si>
    <t>En Cazadores de Coquimbo y San Lorenzo.</t>
  </si>
  <si>
    <t>Agrupación de Jubilados "Rivadavia"</t>
  </si>
  <si>
    <t>Refacciones en baño para personas con movilidad reducida y cielorraso en un salón. S. GABOTO 4968.</t>
  </si>
  <si>
    <t>Escuela Primaria N° 10 (Provincial)</t>
  </si>
  <si>
    <t>Adquisición de una computadora y una impresora multifunción para la escuela. L.N. ALEM 2442.</t>
  </si>
  <si>
    <t>Jardín de Infantes Municipal N° 3</t>
  </si>
  <si>
    <t>Refacciones y equipamiento tecnológico. JOSÉ HERNÁNDEZ 4527.</t>
  </si>
  <si>
    <t>Instituto Superior de Formación Técnica N° 220 (Provincial)</t>
  </si>
  <si>
    <t>Reparación del sistema de extracción de gases del taller, adquirir un aire acondicionado, equipos de laboratorio y otros equipos tecnológicos. VIRREY LORETO 2564.</t>
  </si>
  <si>
    <t xml:space="preserve">Hogar Kaupé </t>
  </si>
  <si>
    <t>Ampliación edilicia del hogar de tránsito para personas con discapacidad. MONTE DE OCA 6820.</t>
  </si>
  <si>
    <t>Federación de Clubes Convivir</t>
  </si>
  <si>
    <t>Construcción de un Salón de Usos Múltiples. S. GABOTO 4903.</t>
  </si>
  <si>
    <t xml:space="preserve">Estacionamiento exclusivo </t>
  </si>
  <si>
    <t>Para personas con movilidad reducida en el entorno de Av. Vélez Sarsfield (centro comercial).</t>
  </si>
  <si>
    <t>Escuela Primaria N° 32 (Provincial)</t>
  </si>
  <si>
    <t>Reformas en tres salones y remodelación de los baños. JOSÉ INGENIEROS 4925.</t>
  </si>
  <si>
    <t>Escuela Primaria N° 30 (Provincial)</t>
  </si>
  <si>
    <t>Adquisición de equipamiento informatico. ISRAEL Y RIVERA.</t>
  </si>
  <si>
    <t>Asociación Ucraniana Renacimiento</t>
  </si>
  <si>
    <t xml:space="preserve">Reparación de la cubierta y de los baños de la sede de la institución. </t>
  </si>
  <si>
    <t>Bomberos Voluntarios de Vicente López</t>
  </si>
  <si>
    <t>Adquisición de equipamiento y mejora de las instalaciones. ANTÁRTIDA ARGENTINA Y JOSÉ INGENIEROS.</t>
  </si>
  <si>
    <t>Carapachay</t>
  </si>
  <si>
    <t>Asociación Amigos de la Estación Carapachay</t>
  </si>
  <si>
    <t>Colocación de piso de cerámicas en el salón. Provisión e instalación de cortinado/telón en escenario existente. GUIDO SPANO 5740.</t>
  </si>
  <si>
    <t>Junta Vecinal y Centro de Jubilados "Manuel Belgrano"</t>
  </si>
  <si>
    <t>Modificación edilicia en el sector de planta baja. R. CASTRO 5175.</t>
  </si>
  <si>
    <t>Veredas limpias de caca</t>
  </si>
  <si>
    <t>Instalación de dispensers de bolsas para deposiciones caninas en distintos puntos del barrio.</t>
  </si>
  <si>
    <t>Carapachay cumplió 80 años</t>
  </si>
  <si>
    <t>Edición de una publicación alegórica de distribución gratuita a cargo de la Biblioteca Histórica Arturo García.</t>
  </si>
  <si>
    <t>Centro Cultural Carapachay</t>
  </si>
  <si>
    <t>Construcción de un office. ITUZAINGÓ 5442.</t>
  </si>
  <si>
    <t>Centro de Jubilados "Unión Fraternal de Carapachay"</t>
  </si>
  <si>
    <t>Adquisición de equipamiento para el salón y para la cocina. RAMÓN CASTRO 5755.</t>
  </si>
  <si>
    <t>Escuela Primaria N° 18 (Provincial)</t>
  </si>
  <si>
    <t>Puesta en valor del patio de juegos. DRYSDALE 5615.</t>
  </si>
  <si>
    <t>En Islas Malvinas y Acassuso. Estará bajo la supervisión de la Dirección de Ambiente de la Municipalidad.</t>
  </si>
  <si>
    <t>Jardín de Infantes N° 916 (Provincial)</t>
  </si>
  <si>
    <t>Cambiar las ventanas de las aulas de la planta baja y reparar y pintar sectores del interior del Jardín. DERQUI 5711.</t>
  </si>
  <si>
    <t>Nuevo canil</t>
  </si>
  <si>
    <t>En Plaza Sarmiento. MENDOZA Y ASCASUBI.</t>
  </si>
  <si>
    <t xml:space="preserve">Reductores de velocidad </t>
  </si>
  <si>
    <t>En Almafuerte y Esquiú y en J.J. Castelli y Av. Ader (condicional al acuerdo con los vecinos).</t>
  </si>
  <si>
    <t>Sociedad de Fomento Drysdale</t>
  </si>
  <si>
    <t>Cambio de los ventanales del gimnasio principal. J.J. CASTELLI 5770.</t>
  </si>
  <si>
    <t>Unión Vecinal 25 de Mayo</t>
  </si>
  <si>
    <t>Revoque y pintura exterior de la medianera, reformas en baños, reparación del tiraje de la parrilla e instalación de defensas en la cancha de fútbol 5. R. OBLIGADO 5280.</t>
  </si>
  <si>
    <t>Semáforo peatonal y pintado de senda.</t>
  </si>
  <si>
    <t>En el semáforo existente de Cajaraville y Acassuso.</t>
  </si>
  <si>
    <t>Jardín de Infantes N° 907 (Provincial)</t>
  </si>
  <si>
    <t>Adquisición de mobiliario para las salas. COSME ARGERICH 3501.</t>
  </si>
  <si>
    <t>Villa Adelina</t>
  </si>
  <si>
    <t>Manos a la masa</t>
  </si>
  <si>
    <t>Talleres de alimentación saludable a desarrollarse en escuelas del barrio durante el 2022.</t>
  </si>
  <si>
    <t>En Plaza Eduardo Ader. TRIUNVIRATO Y SANTIAGO DEL ESTERO.</t>
  </si>
  <si>
    <t>Plazoleta 9 de Julio y Paraná</t>
  </si>
  <si>
    <t>Puesta en valor. 9 DE JULIO Y PARANÁ.</t>
  </si>
  <si>
    <t>En J. J. Castelli y Av. Ader (condicional al acuerdo con los vecinos).</t>
  </si>
  <si>
    <t>Escuela de Educación Técnica N°1 (Provincial)</t>
  </si>
  <si>
    <t>Construcción de un Laboratorio para la nueva especialización en programación que se abrió en la escuela . CERRITO 3966.</t>
  </si>
  <si>
    <t>Club Sociedades Unidas de Villa Adelina</t>
  </si>
  <si>
    <t>Construcción de un nuevo Salón de Usos Múltiples y vestuarios. PARANÁ 6098.</t>
  </si>
  <si>
    <t>Club de Leones de Villa Adelina</t>
  </si>
  <si>
    <t>Remodelación de la cocina de la institución. M. PEDRAZA 3839.</t>
  </si>
  <si>
    <t>Asociación Vecinos y Amigos de la Plaza Eduardo Ader (AVAPEA)</t>
  </si>
  <si>
    <t>Mejorar la aislación térmica y cambio de zinguerías. TRIUNVIRATO Y SANTIAGO DEL ESTERO.</t>
  </si>
  <si>
    <t>Dirigido a adolescentes embarazadas a realizar en instituciones del barrio.</t>
  </si>
  <si>
    <t>La Lucila</t>
  </si>
  <si>
    <t>Xul Solar va a la escuela</t>
  </si>
  <si>
    <t>Talleres de expresión artística a desarrollarse en escuelas del barrio durante el 2022.</t>
  </si>
  <si>
    <t>Audioguía de nuestros bienes culturales</t>
  </si>
  <si>
    <t>Producción de una audioguía para el recorrido y la interpretación de monumentos, murales, esculturas e intervenciones presentes en los Barrios Enamour y El Ceibo en La Lucila, con la supervisión de la Secretaría de Cultura de la Municipalidad.</t>
  </si>
  <si>
    <t>Adquisición de equipamiento y modernización de las instalaciones del cuartel y de los destacamentos.</t>
  </si>
  <si>
    <t>Centro Barrial Infantil El Ceibo</t>
  </si>
  <si>
    <t>Adquisición de equipamiento tecnológico para la sede. ALMIRANTE BROWN 3663.</t>
  </si>
  <si>
    <t>Clic mayores - Inclusión digital</t>
  </si>
  <si>
    <t>Talleres de inclusión digital dirigidos a adultos mayores.</t>
  </si>
  <si>
    <t>Parque Natural La Lucila</t>
  </si>
  <si>
    <t>Señalética de referencia, orientativa y restrictiva para el parque. COSTA DEL RÍO entre ROMA Y SAN LORENZO.</t>
  </si>
  <si>
    <t>Sociedad de Fomento La Lucila</t>
  </si>
  <si>
    <t>Pintura exterior, cambio de aberturas y ventiladores. TUCUMÁN 3339.</t>
  </si>
  <si>
    <t>Ruta del arte urbano</t>
  </si>
  <si>
    <t>Intervención artística del paredón ubicado en Alte. Brown y Bermúdez (paso bajo nivel Tren de la Costa), organizado por la Secretaría de Cultura de la Municipalidad.</t>
  </si>
  <si>
    <t>Cruz Roja Argentina - Filial Vicente López</t>
  </si>
  <si>
    <t>Puestos de testeo de enfermedades, formación y atención para la Filial Vicente López.</t>
  </si>
  <si>
    <t>Rescate de la memoria de la ribera</t>
  </si>
  <si>
    <t>Generación de contenidos audiovisuales referidos al rescate de la historia de nuestras costas, épocas en las cuales la ciudad miraba al río y disfrutaba de sus aguas y playas. Producción audiovisual a cargo de la agrupación Yumpa.</t>
  </si>
  <si>
    <t>Observatorio de Aves</t>
  </si>
  <si>
    <t>Insumos y cartelería para el observatorio y su entorno. PARQUE NATURAL LA LUCILA (altura Roma).</t>
  </si>
  <si>
    <t>Grupo Scouts Nuestra Señora de la Paz</t>
  </si>
  <si>
    <t>Acondicionamiento de un nuevo salón de la sede. SAN MARTIN 461.</t>
  </si>
  <si>
    <t>Escuela Secundaria N° 7 (Provincial)</t>
  </si>
  <si>
    <t>Reacondicionamiento de baños, pintura interior e instalación de un escenario rebatible. ARENALES 1945.</t>
  </si>
  <si>
    <t>Florida Este</t>
  </si>
  <si>
    <t>En Lavalle y Caseros.</t>
  </si>
  <si>
    <t>Jardín de Infantes N° 902 (Provincial)</t>
  </si>
  <si>
    <t>Adquisición e instalación de juegos, piso antigolpes y reemplazo de la puerta de ingreso al patio. ARENALES 3020.</t>
  </si>
  <si>
    <t>Rotary Club La Lucila</t>
  </si>
  <si>
    <t>Adquisición de equipamiento para extracción de sangre destinada a donaciones.</t>
  </si>
  <si>
    <t>En la Plaza Libertad. ITALIA Y VALLE GRANDE.</t>
  </si>
  <si>
    <t>Laboratorio de Arte y Tecnología</t>
  </si>
  <si>
    <t>Mejoras en inmueble ubicado en URQUIZA 2285 y equipamiento para ser destinado a un espacio de arte y tecnología para jóvenes.</t>
  </si>
  <si>
    <t>En el cruce de Valle Grande e H. Yrigoyen.</t>
  </si>
  <si>
    <t>Teatro de Repertorio del Norte</t>
  </si>
  <si>
    <t>Iluminación integral de la sede y cámaras de seguridad.</t>
  </si>
  <si>
    <t xml:space="preserve">Sendas peatonales </t>
  </si>
  <si>
    <t>En los cruces de H. Yrigoyen con Chacabuco, con Liniers y con Gral. Paz.</t>
  </si>
  <si>
    <t>Sendas peatonales en entorno escuelas</t>
  </si>
  <si>
    <t>En sector comprendido por las vías del FFCC Mitre, Warnes, Roca, San Martín.</t>
  </si>
  <si>
    <t>Instalación de dispensers con bolsas para deposiciones caninas en distintos puntos del barrio.</t>
  </si>
  <si>
    <t>Club Villa Pearson</t>
  </si>
  <si>
    <t>Mejoras edilicias en los vestuarios. LAPRIDA 2929.</t>
  </si>
  <si>
    <t>APOVILO (Asociación de Pacientes Oncológicos de Vicente López)</t>
  </si>
  <si>
    <t>Reacondicionamiento de la sede y provisión de equipamiento. H. YRIGOYEN 1757.</t>
  </si>
  <si>
    <t>Instalación de rampas faltantes en las esquinas de la calle Malaver (desde Blas Parera hasta Maipú), con prioridad a las que constituyan circuitos cercanos a centros comerciales, centros de salud e instituciones educativas.</t>
  </si>
  <si>
    <t>Centro de Formación Laboral N° 1 (Provincial)</t>
  </si>
  <si>
    <t>Adquisición de equipamiento tecnológico destinado a personas con discapacidad intelectual. WARNES 445.</t>
  </si>
  <si>
    <t>Club Defensores de Florida</t>
  </si>
  <si>
    <t>Mejora en sanitarios y vestuarios, baño para personas con movilidad reducida, modificación del frente y reformas en sector de planta baja. LAPRIDA 2064.</t>
  </si>
  <si>
    <t>Adquisición de un vehículo de servicio equipado para la Filial Vicente López. R. E DE SAN MARTÍN 1411.</t>
  </si>
  <si>
    <t>Volver a Martelli</t>
  </si>
  <si>
    <t>Adquisición de un vehículo utilitario y equipamiento (gazebo, notebook, parlantes). J. B. DE LASSALLE 3909.</t>
  </si>
  <si>
    <t>Villa Martelli</t>
  </si>
  <si>
    <t>Jardín de Infantes N° 918 (Provincial)</t>
  </si>
  <si>
    <t>Restauración de mobiliario y elementos para Educación Fisica. MOLDES 4945.</t>
  </si>
  <si>
    <t>Sociedad Polaca Federico Chopin</t>
  </si>
  <si>
    <t>Reparaciones integrales en el edificio de su sede para poder retomar las actividades con los vecinos del barrio, así como también ofrecer los espacios para actividades varias. PERÚ 882.</t>
  </si>
  <si>
    <t>Sociedad de Fomento de Villa Martelli</t>
  </si>
  <si>
    <t>Construcción de un baño para personas con movilidad reducida, reparación de un colector de cloaca y obras de acondicionamiento edilicio. CHILE 179.</t>
  </si>
  <si>
    <t>Sociedad de Fomento Barrio Gaynor</t>
  </si>
  <si>
    <t>Remodelación de baños y construcción de vestuarios en la sede. MOLDES 4996.</t>
  </si>
  <si>
    <t>Semáforos completos</t>
  </si>
  <si>
    <t>En la intersección de Melo y Egipto.</t>
  </si>
  <si>
    <t>Plaza Salvador Mazza</t>
  </si>
  <si>
    <t>Puesta en valor. J.B. DE LASALLE Y GRAMAJO GUTIÉRREZ.</t>
  </si>
  <si>
    <t>Plaza El Ombú</t>
  </si>
  <si>
    <t>Renovación y puesta en valor.J.B. DE LASSALLE Y RICHIERI.</t>
  </si>
  <si>
    <t>Jardín Maternal Municipal N° 1</t>
  </si>
  <si>
    <t>Nuevos juegos y material pedagógico. MOLDES 4925.</t>
  </si>
  <si>
    <t>En la Plaza Salvador Mazza, ubicada en J. Bautista de Lassalle y Gramajo Gutiérrez. Estará bajo la supervisión de la Dirección de Ambiente de la Municipalidad.</t>
  </si>
  <si>
    <t xml:space="preserve">Fundación Camino </t>
  </si>
  <si>
    <t>Modificación de la instalación eléctrica de su sede para poder desarrollar las actividades de capacitación y formación laboral en forma simultánea y con la climatización adecuada. LAPRIDA 4914.</t>
  </si>
  <si>
    <t>Escuela Primaria N° 20 (Provincial)</t>
  </si>
  <si>
    <t>Adquisición e instalación de pantallas y proyectores para las aulas. BALCARCE 650.</t>
  </si>
  <si>
    <t>Composteras comunitarias</t>
  </si>
  <si>
    <t>En la Plaza Almafuerte. Estará bajo la supervisión del placero. BALCARCE Y LAVALLE.</t>
  </si>
  <si>
    <t xml:space="preserve">Club Laprida </t>
  </si>
  <si>
    <t>Modificaciones edilicias y equipamiento. Laprida 4440.</t>
  </si>
  <si>
    <t>Circulo de Ajedrez de Villa Martelli</t>
  </si>
  <si>
    <t>Construcción de un salón y un baño en el tercer piso del edificio, para ser utilizado como laboratorio de informática acorde a las nuevas tendencias de la disciplina. LAPRIDA 3837.</t>
  </si>
  <si>
    <t xml:space="preserve">Ciclón Fútbol Club </t>
  </si>
  <si>
    <t>Refacciones varias y baño para personas con movilidad reducida. VENEZUELA 4601.</t>
  </si>
  <si>
    <t>Centro de Jubilados y Pensionados Amigos de Padilla</t>
  </si>
  <si>
    <t>Provisión de mobiliario y equipamiento para el Centro. ECHEVERRÍA 605.</t>
  </si>
  <si>
    <t>Centro de Jubilados "El Trébol"</t>
  </si>
  <si>
    <t>Provisión de un portero eléctrico y equipamiento de cocina. BOLIVIA 284.</t>
  </si>
  <si>
    <t xml:space="preserve">Centro de Fomento Cultural y Deportivo Padilla </t>
  </si>
  <si>
    <t>Reacondicionar baños, pintura del frente y suministro de agua a la cocina, drenaje cloacal y acondicionar salón de usos múltiples de planta alta. LAS HERAS 3259.</t>
  </si>
  <si>
    <t>Centro Barrial Infantil Habana</t>
  </si>
  <si>
    <t>Equipamiento tecnológico y mobiliario. HABANA 171.</t>
  </si>
  <si>
    <t>Centro Barrial de Juventud (sede V. Martelli)</t>
  </si>
  <si>
    <t>Adquisición de máquinas de coser para el taller de oficios. BALCARCE 770.</t>
  </si>
  <si>
    <t>Scouts Navales Olivos</t>
  </si>
  <si>
    <t>Construcción de nuevos baños para la institución. J.D. DE SOLÍS Y CAMACUÁ.</t>
  </si>
  <si>
    <t>Olivos</t>
  </si>
  <si>
    <t>En la Plaza de los Inmigrantes. FÉLIX DE AMADOR Y MAIPÚ.</t>
  </si>
  <si>
    <t>Aadquisición de equipamiento para extracción de sangre destinada a donaciones destinadas al banco de sangre del HOSPITAL MUNICIPAL B. HOUSSAY.</t>
  </si>
  <si>
    <t>Jardín Maternal Municipal N° 9</t>
  </si>
  <si>
    <t>Modificaciones edilicias en el ingreso y en la planta baja. PELLIZA 1411.</t>
  </si>
  <si>
    <t>Sobre Díaz Vélez desde Uzal hasta el ACA de Panamericana.</t>
  </si>
  <si>
    <t>Sociedad de Fomento 12 de Octubre</t>
  </si>
  <si>
    <t>Mejoras y ampliación de la sede. J.M. PAZ 3645.</t>
  </si>
  <si>
    <t>LALCEC</t>
  </si>
  <si>
    <t>Adquisición de un ecógrafo, una impresora color, aires acondicionados, microondas, computadora y heladera. MARCONI 1490.</t>
  </si>
  <si>
    <t>Colegio Virgen del Carmen</t>
  </si>
  <si>
    <t>Pintura de sectores interiores y cambio de luminarias. VALLE GRANDE 3141.</t>
  </si>
  <si>
    <t>Jardín de Infantes N° 913 (Provincial)</t>
  </si>
  <si>
    <t>Remodelación del patio de juegos y de un depósito. WARNES 2340.</t>
  </si>
  <si>
    <t>Centro Barrial Infantil La Loma</t>
  </si>
  <si>
    <t>Adquisición de equipamiento tecnológico. A. BELLOCQ 3378.</t>
  </si>
  <si>
    <t>Centro de la Mujer y Políticas de Género</t>
  </si>
  <si>
    <t>Equipamiento para iniciar y gestionar microemprendimientos. JUAN DE GARAY 3137.</t>
  </si>
  <si>
    <t>Centro de Jubilados y Pensionados "Sarmiento"</t>
  </si>
  <si>
    <t>Adquisición de una computadora y mobiliario para el salón. H. DE LA QUINTANA 3326.</t>
  </si>
  <si>
    <t>Centro de Jubilados y Pensionados "Plaza de los Inmigrantes"</t>
  </si>
  <si>
    <t>Adquisición e instalación de un equipo de aire acondicionado y mesas y sillas para el salón. M. BELZÚ 1721.</t>
  </si>
  <si>
    <t>Centro de Investigaciones Históricas de Vicente López</t>
  </si>
  <si>
    <t>Adquisición de equipamiento tecnológico (escáner, impresora y laminadora) para tareas de investigación y archivo. RAWSON 2855.</t>
  </si>
  <si>
    <t>Centro de Ex Combatientes de Malvinas</t>
  </si>
  <si>
    <t>Adquisición e instalación de un elevador para silla de ruedas para un ingreso accesible. VILLATE 1831.</t>
  </si>
  <si>
    <t>Centro Cultural El Faro</t>
  </si>
  <si>
    <t>Adquisición de equipamiento para la sede. ROSETTI 2331.</t>
  </si>
  <si>
    <t>Centro Barrial de Juventud (sede La Loma)</t>
  </si>
  <si>
    <t>Club Amistad y Social Olivos Atlético (CAOSA)</t>
  </si>
  <si>
    <t>Remodelación y pintura del frente, mejoras varias. RICARDO GUTIÉRREZ 1345.</t>
  </si>
  <si>
    <t>Cementerio de Olivos</t>
  </si>
  <si>
    <t>Provisión de un elevador seguro para facilitar el acceso para personas con movilidad reducida al sector de nichos. PELLIZA 3100.</t>
  </si>
  <si>
    <t>Casco Histórico de Olivos</t>
  </si>
  <si>
    <t>Realizar una intervención con señalética y mejoramiento del espacio público en la esquina de ENTRE RÍOS Y SALTA para evitar que sea un basural permanente.</t>
  </si>
  <si>
    <t>Campo Municipal de Deportes N°1</t>
  </si>
  <si>
    <t>Adaptación de un baño y vestuario para niños y niñas. DORREGO 2443.</t>
  </si>
  <si>
    <t>Jardín de Infantes Municipal N° 6</t>
  </si>
  <si>
    <t>Provisión de nuevos juegos infantiles para el patio del Jardín. J. INGENIEROS 3475.</t>
  </si>
  <si>
    <t>Asociación CIRES NORTE</t>
  </si>
  <si>
    <t>Realización de aislaciones térmicas de gimnasio, la provisión e instalación de aireadores y ventiladores; y el acondicionamiento de la terraza. DÍAZ VÉLEZ 3155.</t>
  </si>
  <si>
    <t>APIAD</t>
  </si>
  <si>
    <t>Construcción de un espacio para el funcionamiento de un lavadero para la sede. AYACUCHO 3939.</t>
  </si>
  <si>
    <t>Club Defensores de Olivos</t>
  </si>
  <si>
    <t>Remodelación de los baños de planta alta, plataforma salida de emergencia, instalación de una antecámara para ingreso al natatorio de personas con dificultades de movilidad. FÉLIX DE AMADOR 1942.</t>
  </si>
  <si>
    <t>Escuela Municipal de Música Popular</t>
  </si>
  <si>
    <t>Adquisición de instrumentos varios y equipamiento. BUENOS AIRES 2867.</t>
  </si>
  <si>
    <t>Club Social y Cultural Sarmiento</t>
  </si>
  <si>
    <t>Generación de un nuevo buffet. H. DE LA QUINTANA 3326.</t>
  </si>
  <si>
    <t>Jardín de Infantes Municipal N° 10</t>
  </si>
  <si>
    <t>Adquisición de equipamiento tecnológico. J.M. PAZ 3675.</t>
  </si>
  <si>
    <t>Hogar Querubines</t>
  </si>
  <si>
    <t>Adquisición de mobiliario, equipos de aire acondicionado y reparaciones varias del edificio. J.B. JUSTO 2639.</t>
  </si>
  <si>
    <t>Grupo Scouts Hipólito Bouchard</t>
  </si>
  <si>
    <t>Adquisición de un nuevo mástil para la bandera de la institución. M. BELZÚ 1702.</t>
  </si>
  <si>
    <t>Escuela Secundaria N° 1 (Provincial)</t>
  </si>
  <si>
    <t>Mejoramiento de infraestructura, mobiliario y equipamiento. CORRIENTES 1441.</t>
  </si>
  <si>
    <t>Escuela Secundaria Municipal "Paula A. de Sarmiento"</t>
  </si>
  <si>
    <t>Provisión e instalación de 5aires acondicionados en aulas del 1°piso y 1 en secretaría de planta baja. J.B. ALBERDI 1227.</t>
  </si>
  <si>
    <t>Hospice San Camilo</t>
  </si>
  <si>
    <t>Adquisición de un vehículo utilitario para el traslado de personas y de equipamiento. H. DE LA QUINTANA 2125.</t>
  </si>
  <si>
    <t>Escuela de Estética N° 1 (Provincial)</t>
  </si>
  <si>
    <t>Reparación de la vereda de la institución. AVELLANEDA 3510.</t>
  </si>
  <si>
    <t>Club Social y Deportivo Unión Olivos</t>
  </si>
  <si>
    <t>Reforma de los baños existentes contemplando uno para personas con movilidad reducida. D.F. SARMIENTO 3551.</t>
  </si>
  <si>
    <t>Dársenas de carga y descarga</t>
  </si>
  <si>
    <t>Una sobre Sturiza y 1 sobre Rosales, cerca de la intersección de ambas.</t>
  </si>
  <si>
    <t xml:space="preserve">Dársena de carga y descarga </t>
  </si>
  <si>
    <t>Sobre Corrientes entre Rawson y Rosales (mano impar).</t>
  </si>
  <si>
    <t>En la Plaza de los Inmigrantes. Estará bajo la supervisión del placero. FÉLIX DE AMADOR Y MAIPÚ.</t>
  </si>
  <si>
    <t>Escuela de Educación Especial N° 502 (Provincial)</t>
  </si>
  <si>
    <t>Acondicionar un aula y adquirir equipamiento para el funcionamiento de un Taller de Sublimación e Impresión como microemprendimiento y salida laboral para los alumnos. PEDRO GOYENA 3264.</t>
  </si>
  <si>
    <t>Jardín de Infantes N° 905 (Provincial)</t>
  </si>
  <si>
    <t>Remoción de arenero y la instalación de un piso antigolpes y de un módulo de juegos infantiles. PRINGLES 3665.</t>
  </si>
  <si>
    <t>Florida Oeste</t>
  </si>
  <si>
    <t>Jardín de Infantes N° 908 (Provincial)</t>
  </si>
  <si>
    <t>Restauración del patio de juegos del Jardín con piso antigolpes y juegos nuevos. ESMERALDA 4470.</t>
  </si>
  <si>
    <t>Jardín de Infantes N° 912 (Provincial)</t>
  </si>
  <si>
    <t>Cambiar piso del Salón de Usos Múltiples. J. A. ROCA 3962.</t>
  </si>
  <si>
    <t>Orquesta Infanto Juvenil de Vte. López</t>
  </si>
  <si>
    <t>Instrumentos e insumos para la orquesta que funciona en el edificio de la Escuela Primaria N° 17. G. MÉNDEZ 2050.</t>
  </si>
  <si>
    <t>Reductores de velocidad</t>
  </si>
  <si>
    <t>Sobre Franklin en el trayecto desde San Martín hasta Yrigoyen (condicional al acuerdo de los vecinos).</t>
  </si>
  <si>
    <t>Plaza La Paz</t>
  </si>
  <si>
    <t>Recinto de guarda para los placeros a cargo del mantenimiento de la plaza. FRANCIA Y FRENCH.</t>
  </si>
  <si>
    <t>Plazoleta del Paseo de las Artes</t>
  </si>
  <si>
    <t>Puesta en Valor. BOLIVIA AL 1500, contigua a Est. Florida del FFCC Belgrano.</t>
  </si>
  <si>
    <t>En el cruce de Av. Mitre y Esmeralda.</t>
  </si>
  <si>
    <t>Voluntarias Maternidad Santa Rosa</t>
  </si>
  <si>
    <t>Adquisición de mobiliario y equipamiento para la sede. M.J. HAEDO 4101.</t>
  </si>
  <si>
    <t>Sociedad de Fomento Florida Sud</t>
  </si>
  <si>
    <t>Nuevo salón multipropósito en la planta alta. M.J. HAEDO 3885.</t>
  </si>
  <si>
    <t>Florida Club</t>
  </si>
  <si>
    <t>Construcción de un baño para personas con movilidad reducida, nuevos sanitarios y mejorar la accesibilidad a los diferentes niveles del edificio. VERGARA 3940.</t>
  </si>
  <si>
    <t xml:space="preserve">Jardín de Infantes Las Hormiguitas </t>
  </si>
  <si>
    <t>Construcción de dos baños y aleros en frente y lateral de la sede. PERITO MORENO 1176, Barrio Las Flores.</t>
  </si>
  <si>
    <t>Centro de Jubilados y Pensionados Un Rincón de Amigos</t>
  </si>
  <si>
    <t>Adquisición de equipamiento para el salón y la cocina (TV 43", un microondas y un calefactor). HAEDO 4789.</t>
  </si>
  <si>
    <t>Escuela Secundaria N° 9 (Provincial)</t>
  </si>
  <si>
    <t>El proyecto consiste en la reparación de filtraciones de la cubierta de tejas y de una losa, reparaciones varias en el edificio, provisión de pizarras blancas para las aulas y colocación de rejas de seguridad. FRANCIA 3536.</t>
  </si>
  <si>
    <t>Escuela Primaria N° 14 (Provincial)</t>
  </si>
  <si>
    <t xml:space="preserve">Refacción y pintura de la fachada y de los muros externos del edificio. ROCA 3990. </t>
  </si>
  <si>
    <t>Escuela Primaria Municipal "Manuel Dorrego"</t>
  </si>
  <si>
    <t>Adquisición e instalación de equipos de aire acondicionado y de Smart TV en las aulas de la escuela. POSADAS 1115.</t>
  </si>
  <si>
    <t>Escuela de Educación Técnica N° 4 (Provincial)</t>
  </si>
  <si>
    <t>Reacondicionamiento de un sector del 1° piso y equipamiento para las tecnicaturas de Quimica y Electromecánica. SAN MARTIN 4650.</t>
  </si>
  <si>
    <t>Club Unión Florida</t>
  </si>
  <si>
    <t>Construcción de un vestuario con acceso directo a la cancha de básquet. B. DE IRIGOYEN 1540.</t>
  </si>
  <si>
    <t>Club Atlético Colegiales</t>
  </si>
  <si>
    <t>Iluminación del estadio de fútbol. MALAVER 4706.</t>
  </si>
  <si>
    <t xml:space="preserve">Centro Social y Productivo "Juana Azurduy" </t>
  </si>
  <si>
    <t>Pinceles, pinturas, papeles, lapices para el taller de arte y la biblioteca infantil. BARRIO LAS FLORES.</t>
  </si>
  <si>
    <t>Centro de Jubilados "Amor y Amistad"</t>
  </si>
  <si>
    <t>Construcción de un cerramiento lateral en la galería de ingreso, adquisición de mobiliario, un aire acondicionado y una computadora. FRANCIA 4596.</t>
  </si>
  <si>
    <t>Centro Barrial Infantil Las Flores</t>
  </si>
  <si>
    <t>Equipamiento tecnológico y mobiliario. BERUTI 761.</t>
  </si>
  <si>
    <t>Instalación de rampas en las esquinas de la calle H. Yrigoyen desde Echeverría hasta Constituyentes.</t>
  </si>
  <si>
    <t>Biblioteca Popular Nora Bombelli</t>
  </si>
  <si>
    <t>Reparar humedades, pintura interior y exterior. FRANCIA 3569.</t>
  </si>
  <si>
    <t>Barrio Las Flores</t>
  </si>
  <si>
    <t>Adquisición de matafuegos de mano y carros matafuegos para un sector del barrio.</t>
  </si>
  <si>
    <t>Asociación Civil Emprender</t>
  </si>
  <si>
    <t>Construcción de un espacio para el funcionamiento de un lavadero industrial, nueva sucursal del taller protegido para personas con discapacidad de Emprender. MALAVER 3312.</t>
  </si>
  <si>
    <t>Sociedad de Fomento 9 de Julio</t>
  </si>
  <si>
    <t>Construcción de un cerramiento y modificaciones en el sector del natatorio. ITALIA 3355.</t>
  </si>
  <si>
    <t>Semáforos con cuenta regresiva</t>
  </si>
  <si>
    <t>Compra e instalación de módulos adicionales de cuenta regresiva en los semáforos existentes sobre Av. San Martín.</t>
  </si>
  <si>
    <t>Instituciones intermedias</t>
  </si>
  <si>
    <t>Escuelas Provinciales</t>
  </si>
  <si>
    <t>Vecinos</t>
  </si>
  <si>
    <t>Dependencias Municipales</t>
  </si>
  <si>
    <t>Cantidad de Proyectos</t>
  </si>
  <si>
    <t>Cantidad de Proyectos según origen</t>
  </si>
  <si>
    <t>Porcentaje del PP 2022</t>
  </si>
  <si>
    <t>Cantidad de Votos</t>
  </si>
  <si>
    <t>Cantidad de votos obtenidos</t>
  </si>
  <si>
    <t>Nro. Proyecto en el Barrio</t>
  </si>
  <si>
    <t>Orden en la votación según cantidad de votos</t>
  </si>
  <si>
    <t>GANADOR</t>
  </si>
  <si>
    <t>SI</t>
  </si>
  <si>
    <t>NO</t>
  </si>
  <si>
    <t>Presupuesto Estimado</t>
  </si>
  <si>
    <t>Observaciones</t>
  </si>
  <si>
    <t>Suma presupuestos proyectos ganadores por barrio</t>
  </si>
  <si>
    <t>El proyecto se realizará en 2022</t>
  </si>
  <si>
    <t>Excede presupuesto disponible para el barrio</t>
  </si>
  <si>
    <t>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</si>
</sst>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5" x14ac:knownFonts="1">
    <font>
      <sz val="11"/>
      <color rgb="FF000000"/>
      <name val="Calibri"/>
    </font>
    <font>
      <b/>
      <sz val="11"/>
      <color rgb="FF000000"/>
      <name val="Calibri"/>
      <family val="2"/>
    </font>
    <font>
      <sz val="11"/>
      <color rgb="FF000000"/>
      <name val="Calibri"/>
    </font>
    <font>
      <sz val="11"/>
      <color rgb="FF000000"/>
      <name val="Calibri"/>
      <family val="2"/>
    </font>
    <font>
      <sz val="8"/>
      <name val="Calibri"/>
    </font>
  </fonts>
  <fills count="4">
    <fill>
      <patternFill patternType="none"/>
    </fill>
    <fill>
      <patternFill patternType="gray125"/>
    </fill>
    <fill>
      <patternFill patternType="solid">
        <fgColor theme="6" tint="0.399975585192419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40">
    <xf numFmtId="0" fontId="0" fillId="0" borderId="0" xfId="0"/>
    <xf numFmtId="0" fontId="1" fillId="0" borderId="0" xfId="0" applyFont="1" applyAlignment="1">
      <alignment horizontal="center" vertical="center" wrapText="1"/>
    </xf>
    <xf numFmtId="164" fontId="0" fillId="0" borderId="0" xfId="1" applyNumberFormat="1" applyFont="1"/>
    <xf numFmtId="0" fontId="0" fillId="0" borderId="0" xfId="0" applyAlignment="1">
      <alignment horizontal="center" vertical="center"/>
    </xf>
    <xf numFmtId="0" fontId="3" fillId="0" borderId="1" xfId="0" applyFont="1" applyBorder="1" applyAlignment="1">
      <alignment wrapText="1"/>
    </xf>
    <xf numFmtId="0" fontId="0" fillId="0" borderId="1" xfId="0" applyBorder="1"/>
    <xf numFmtId="9" fontId="0" fillId="0" borderId="1" xfId="2" applyFont="1" applyBorder="1"/>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horizontal="center" vertical="center" wrapText="1"/>
    </xf>
    <xf numFmtId="0" fontId="1" fillId="0" borderId="1" xfId="0" applyFont="1" applyBorder="1"/>
    <xf numFmtId="0" fontId="3" fillId="0" borderId="1" xfId="0" applyFont="1" applyBorder="1"/>
    <xf numFmtId="0" fontId="1" fillId="0" borderId="1" xfId="0" applyFont="1" applyBorder="1" applyAlignment="1">
      <alignment horizontal="center" vertical="center"/>
    </xf>
    <xf numFmtId="164" fontId="3" fillId="0" borderId="1" xfId="1" applyNumberFormat="1" applyFont="1" applyBorder="1" applyAlignment="1">
      <alignment horizontal="center" vertical="center" wrapText="1"/>
    </xf>
    <xf numFmtId="164" fontId="0" fillId="0" borderId="1" xfId="1" applyNumberFormat="1" applyFont="1" applyBorder="1"/>
    <xf numFmtId="164" fontId="1" fillId="0" borderId="1" xfId="1" applyNumberFormat="1" applyFont="1" applyBorder="1"/>
    <xf numFmtId="0" fontId="0" fillId="2" borderId="1" xfId="0" applyFill="1" applyBorder="1" applyAlignment="1">
      <alignment horizontal="center" vertical="center"/>
    </xf>
    <xf numFmtId="0" fontId="0" fillId="2" borderId="1" xfId="0" applyFill="1" applyBorder="1"/>
    <xf numFmtId="0" fontId="0" fillId="0" borderId="1" xfId="0" applyBorder="1" applyAlignment="1">
      <alignment horizontal="center" vertical="center"/>
    </xf>
    <xf numFmtId="164" fontId="1" fillId="2" borderId="1" xfId="1" applyNumberFormat="1" applyFont="1" applyFill="1" applyBorder="1"/>
    <xf numFmtId="1" fontId="0" fillId="0" borderId="1" xfId="0" applyNumberFormat="1" applyBorder="1" applyAlignment="1">
      <alignment horizontal="center" vertical="center"/>
    </xf>
    <xf numFmtId="164" fontId="0" fillId="0" borderId="1" xfId="1" applyNumberFormat="1" applyFont="1" applyFill="1" applyBorder="1"/>
    <xf numFmtId="1" fontId="0" fillId="2" borderId="1" xfId="0" applyNumberFormat="1" applyFill="1" applyBorder="1" applyAlignment="1">
      <alignment horizontal="center" vertical="center"/>
    </xf>
    <xf numFmtId="164" fontId="1" fillId="0" borderId="1" xfId="1" applyNumberFormat="1" applyFont="1" applyFill="1" applyBorder="1"/>
    <xf numFmtId="0" fontId="0" fillId="2" borderId="3" xfId="0" applyFill="1" applyBorder="1" applyAlignment="1">
      <alignment horizontal="center" vertical="center"/>
    </xf>
    <xf numFmtId="0" fontId="0" fillId="2" borderId="3" xfId="0" applyFill="1" applyBorder="1"/>
    <xf numFmtId="164" fontId="0" fillId="0" borderId="3" xfId="1" applyNumberFormat="1" applyFont="1" applyBorder="1"/>
    <xf numFmtId="0" fontId="0" fillId="0" borderId="2" xfId="0" applyBorder="1" applyAlignment="1">
      <alignment horizontal="center" vertical="center"/>
    </xf>
    <xf numFmtId="0" fontId="0" fillId="0" borderId="2" xfId="0" applyBorder="1"/>
    <xf numFmtId="164" fontId="0" fillId="0" borderId="2" xfId="1" applyNumberFormat="1" applyFont="1" applyBorder="1"/>
    <xf numFmtId="1" fontId="0" fillId="0" borderId="2" xfId="0" applyNumberFormat="1" applyBorder="1" applyAlignment="1">
      <alignment horizontal="center" vertical="center"/>
    </xf>
    <xf numFmtId="0" fontId="0" fillId="2" borderId="2" xfId="0" applyFill="1" applyBorder="1" applyAlignment="1">
      <alignment horizontal="center" vertical="center"/>
    </xf>
    <xf numFmtId="1" fontId="0" fillId="2" borderId="2" xfId="0" applyNumberFormat="1" applyFill="1" applyBorder="1" applyAlignment="1">
      <alignment horizontal="center" vertical="center"/>
    </xf>
    <xf numFmtId="0" fontId="0" fillId="2" borderId="2" xfId="0" applyFill="1" applyBorder="1"/>
    <xf numFmtId="164" fontId="1" fillId="2" borderId="2" xfId="1" applyNumberFormat="1" applyFont="1" applyFill="1" applyBorder="1"/>
    <xf numFmtId="0" fontId="1" fillId="3" borderId="1" xfId="0" applyFont="1" applyFill="1" applyBorder="1" applyAlignment="1">
      <alignment horizontal="center" vertical="center" wrapText="1"/>
    </xf>
    <xf numFmtId="164" fontId="1" fillId="3" borderId="1" xfId="1" applyNumberFormat="1" applyFont="1" applyFill="1" applyBorder="1" applyAlignment="1">
      <alignment horizontal="center" vertical="center" wrapText="1"/>
    </xf>
    <xf numFmtId="164" fontId="0" fillId="2" borderId="1" xfId="1" applyNumberFormat="1" applyFont="1" applyFill="1" applyBorder="1"/>
    <xf numFmtId="164" fontId="0" fillId="2" borderId="3" xfId="1" applyNumberFormat="1" applyFont="1" applyFill="1" applyBorder="1"/>
    <xf numFmtId="164" fontId="0" fillId="2" borderId="2" xfId="1" applyNumberFormat="1" applyFont="1" applyFill="1" applyBorder="1"/>
  </cellXfs>
  <cellStyles count="3">
    <cellStyle name="Millares" xfId="1" builtinId="3"/>
    <cellStyle name="Normal" xfId="0" builtinId="0"/>
    <cellStyle name="Porcentaje" xfId="2" builtinId="5"/>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Graficos!$A$3:$A$6</c:f>
              <c:strCache>
                <c:ptCount val="4"/>
                <c:pt idx="0">
                  <c:v>Instituciones intermedias</c:v>
                </c:pt>
                <c:pt idx="1">
                  <c:v>Escuelas Provinciales</c:v>
                </c:pt>
                <c:pt idx="2">
                  <c:v>Vecinos</c:v>
                </c:pt>
                <c:pt idx="3">
                  <c:v>Dependencias Municipales</c:v>
                </c:pt>
              </c:strCache>
            </c:strRef>
          </c:cat>
          <c:val>
            <c:numRef>
              <c:f>Graficos!$B$3:$B$6</c:f>
              <c:numCache>
                <c:formatCode>General</c:formatCode>
                <c:ptCount val="4"/>
                <c:pt idx="0">
                  <c:v>41</c:v>
                </c:pt>
                <c:pt idx="1">
                  <c:v>9</c:v>
                </c:pt>
                <c:pt idx="2">
                  <c:v>17</c:v>
                </c:pt>
                <c:pt idx="3">
                  <c:v>9</c:v>
                </c:pt>
              </c:numCache>
            </c:numRef>
          </c:val>
          <c:extLst>
            <c:ext xmlns:c16="http://schemas.microsoft.com/office/drawing/2014/chart" uri="{C3380CC4-5D6E-409C-BE32-E72D297353CC}">
              <c16:uniqueId val="{00000000-3971-4A6F-B7DC-93C18B926226}"/>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Graficos!$A$3:$A$6</c:f>
              <c:strCache>
                <c:ptCount val="4"/>
                <c:pt idx="0">
                  <c:v>Instituciones intermedias</c:v>
                </c:pt>
                <c:pt idx="1">
                  <c:v>Escuelas Provinciales</c:v>
                </c:pt>
                <c:pt idx="2">
                  <c:v>Vecinos</c:v>
                </c:pt>
                <c:pt idx="3">
                  <c:v>Dependencias Municipales</c:v>
                </c:pt>
              </c:strCache>
            </c:strRef>
          </c:cat>
          <c:val>
            <c:numRef>
              <c:f>Graficos!$D$3:$D$6</c:f>
              <c:numCache>
                <c:formatCode>0%</c:formatCode>
                <c:ptCount val="4"/>
                <c:pt idx="0">
                  <c:v>0.64140134409789218</c:v>
                </c:pt>
                <c:pt idx="1">
                  <c:v>9.1456557595396268E-2</c:v>
                </c:pt>
                <c:pt idx="2">
                  <c:v>0.17211091643159057</c:v>
                </c:pt>
                <c:pt idx="3">
                  <c:v>9.5031181875121024E-2</c:v>
                </c:pt>
              </c:numCache>
            </c:numRef>
          </c:val>
          <c:extLst>
            <c:ext xmlns:c16="http://schemas.microsoft.com/office/drawing/2014/chart" uri="{C3380CC4-5D6E-409C-BE32-E72D297353CC}">
              <c16:uniqueId val="{00000000-85E1-4B0C-8665-5DAF7199900A}"/>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Graficos!$A$34:$A$42</c:f>
              <c:strCache>
                <c:ptCount val="9"/>
                <c:pt idx="0">
                  <c:v>Carapachay</c:v>
                </c:pt>
                <c:pt idx="1">
                  <c:v>Florida Este</c:v>
                </c:pt>
                <c:pt idx="2">
                  <c:v>Florida Oeste</c:v>
                </c:pt>
                <c:pt idx="3">
                  <c:v>La Lucila</c:v>
                </c:pt>
                <c:pt idx="4">
                  <c:v>Munro</c:v>
                </c:pt>
                <c:pt idx="5">
                  <c:v>Olivos</c:v>
                </c:pt>
                <c:pt idx="6">
                  <c:v>Vicente López</c:v>
                </c:pt>
                <c:pt idx="7">
                  <c:v>Villa Adelina</c:v>
                </c:pt>
                <c:pt idx="8">
                  <c:v>Villa Martelli</c:v>
                </c:pt>
              </c:strCache>
            </c:strRef>
          </c:cat>
          <c:val>
            <c:numRef>
              <c:f>Graficos!$B$34:$B$42</c:f>
              <c:numCache>
                <c:formatCode>General</c:formatCode>
                <c:ptCount val="9"/>
                <c:pt idx="0">
                  <c:v>8</c:v>
                </c:pt>
                <c:pt idx="1">
                  <c:v>10</c:v>
                </c:pt>
                <c:pt idx="2">
                  <c:v>9</c:v>
                </c:pt>
                <c:pt idx="3">
                  <c:v>7</c:v>
                </c:pt>
                <c:pt idx="4">
                  <c:v>10</c:v>
                </c:pt>
                <c:pt idx="5">
                  <c:v>9</c:v>
                </c:pt>
                <c:pt idx="6">
                  <c:v>6</c:v>
                </c:pt>
                <c:pt idx="7">
                  <c:v>8</c:v>
                </c:pt>
                <c:pt idx="8">
                  <c:v>9</c:v>
                </c:pt>
              </c:numCache>
            </c:numRef>
          </c:val>
          <c:extLst>
            <c:ext xmlns:c16="http://schemas.microsoft.com/office/drawing/2014/chart" uri="{C3380CC4-5D6E-409C-BE32-E72D297353CC}">
              <c16:uniqueId val="{00000000-AB51-44E0-A509-DD9BB84C385F}"/>
            </c:ext>
          </c:extLst>
        </c:ser>
        <c:dLbls>
          <c:showLegendKey val="0"/>
          <c:showVal val="0"/>
          <c:showCatName val="0"/>
          <c:showSerName val="0"/>
          <c:showPercent val="0"/>
          <c:showBubbleSize val="0"/>
        </c:dLbls>
        <c:gapWidth val="150"/>
        <c:axId val="79985280"/>
        <c:axId val="89401600"/>
      </c:barChart>
      <c:catAx>
        <c:axId val="79985280"/>
        <c:scaling>
          <c:orientation val="minMax"/>
        </c:scaling>
        <c:delete val="0"/>
        <c:axPos val="b"/>
        <c:numFmt formatCode="General" sourceLinked="0"/>
        <c:majorTickMark val="out"/>
        <c:minorTickMark val="none"/>
        <c:tickLblPos val="nextTo"/>
        <c:crossAx val="89401600"/>
        <c:crosses val="autoZero"/>
        <c:auto val="1"/>
        <c:lblAlgn val="ctr"/>
        <c:lblOffset val="100"/>
        <c:noMultiLvlLbl val="0"/>
      </c:catAx>
      <c:valAx>
        <c:axId val="89401600"/>
        <c:scaling>
          <c:orientation val="minMax"/>
        </c:scaling>
        <c:delete val="1"/>
        <c:axPos val="l"/>
        <c:majorGridlines/>
        <c:numFmt formatCode="General" sourceLinked="1"/>
        <c:majorTickMark val="out"/>
        <c:minorTickMark val="none"/>
        <c:tickLblPos val="nextTo"/>
        <c:crossAx val="79985280"/>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228599</xdr:colOff>
      <xdr:row>2</xdr:row>
      <xdr:rowOff>14286</xdr:rowOff>
    </xdr:from>
    <xdr:to>
      <xdr:col>12</xdr:col>
      <xdr:colOff>657224</xdr:colOff>
      <xdr:row>14</xdr:row>
      <xdr:rowOff>19049</xdr:rowOff>
    </xdr:to>
    <xdr:graphicFrame macro="">
      <xdr:nvGraphicFramePr>
        <xdr:cNvPr id="4" name="3 Gráfico" title="Cantidad de proyectos ganadores según origen">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219075</xdr:colOff>
      <xdr:row>16</xdr:row>
      <xdr:rowOff>33336</xdr:rowOff>
    </xdr:from>
    <xdr:to>
      <xdr:col>12</xdr:col>
      <xdr:colOff>581025</xdr:colOff>
      <xdr:row>31</xdr:row>
      <xdr:rowOff>95249</xdr:rowOff>
    </xdr:to>
    <xdr:graphicFrame macro="">
      <xdr:nvGraphicFramePr>
        <xdr:cNvPr id="6" name="5 Gráfico" title="Porcentaje de presupuesto asignados según originante">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247650</xdr:colOff>
      <xdr:row>28</xdr:row>
      <xdr:rowOff>180975</xdr:rowOff>
    </xdr:from>
    <xdr:to>
      <xdr:col>12</xdr:col>
      <xdr:colOff>304800</xdr:colOff>
      <xdr:row>30</xdr:row>
      <xdr:rowOff>85725</xdr:rowOff>
    </xdr:to>
    <xdr:sp macro="" textlink="">
      <xdr:nvSpPr>
        <xdr:cNvPr id="7" name="6 CuadroTexto">
          <a:extLst>
            <a:ext uri="{FF2B5EF4-FFF2-40B4-BE49-F238E27FC236}">
              <a16:creationId xmlns:a16="http://schemas.microsoft.com/office/drawing/2014/main" id="{00000000-0008-0000-0100-000007000000}"/>
            </a:ext>
          </a:extLst>
        </xdr:cNvPr>
        <xdr:cNvSpPr txBox="1"/>
      </xdr:nvSpPr>
      <xdr:spPr>
        <a:xfrm>
          <a:off x="9048750" y="6438900"/>
          <a:ext cx="15811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Total: $ 200 millones</a:t>
          </a:r>
        </a:p>
      </xdr:txBody>
    </xdr:sp>
    <xdr:clientData/>
  </xdr:twoCellAnchor>
  <xdr:twoCellAnchor>
    <xdr:from>
      <xdr:col>4</xdr:col>
      <xdr:colOff>257175</xdr:colOff>
      <xdr:row>33</xdr:row>
      <xdr:rowOff>185737</xdr:rowOff>
    </xdr:from>
    <xdr:to>
      <xdr:col>13</xdr:col>
      <xdr:colOff>333374</xdr:colOff>
      <xdr:row>50</xdr:row>
      <xdr:rowOff>28575</xdr:rowOff>
    </xdr:to>
    <xdr:graphicFrame macro="">
      <xdr:nvGraphicFramePr>
        <xdr:cNvPr id="8" name="7 Gráfico">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cdr:x>
      <cdr:y>0.8496</cdr:y>
    </cdr:from>
    <cdr:to>
      <cdr:x>0.90667</cdr:x>
      <cdr:y>0.9296</cdr:y>
    </cdr:to>
    <cdr:sp macro="" textlink="">
      <cdr:nvSpPr>
        <cdr:cNvPr id="2" name="1 CuadroTexto"/>
        <cdr:cNvSpPr txBox="1"/>
      </cdr:nvSpPr>
      <cdr:spPr>
        <a:xfrm xmlns:a="http://schemas.openxmlformats.org/drawingml/2006/main">
          <a:off x="3000376" y="2528889"/>
          <a:ext cx="1533525"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b="1"/>
            <a:t>Total: 76 proyectos</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18"/>
  <sheetViews>
    <sheetView tabSelected="1" workbookViewId="0">
      <selection activeCell="A170" sqref="A170"/>
    </sheetView>
  </sheetViews>
  <sheetFormatPr baseColWidth="10" defaultColWidth="9.109375" defaultRowHeight="14.4" x14ac:dyDescent="0.3"/>
  <cols>
    <col min="1" max="1" width="9.33203125" style="3" customWidth="1"/>
    <col min="2" max="4" width="13.6640625" style="3" customWidth="1"/>
    <col min="5" max="5" width="13.6640625" customWidth="1"/>
    <col min="6" max="6" width="36.88671875" customWidth="1"/>
    <col min="7" max="7" width="42.44140625" customWidth="1"/>
    <col min="8" max="8" width="17" style="2" customWidth="1"/>
    <col min="9" max="9" width="41.88671875" customWidth="1"/>
    <col min="10" max="10" width="15.6640625" style="2" customWidth="1"/>
  </cols>
  <sheetData>
    <row r="1" spans="1:10" s="1" customFormat="1" ht="72" x14ac:dyDescent="0.3">
      <c r="A1" s="35" t="s">
        <v>398</v>
      </c>
      <c r="B1" s="35" t="s">
        <v>397</v>
      </c>
      <c r="C1" s="35" t="s">
        <v>399</v>
      </c>
      <c r="D1" s="35" t="s">
        <v>400</v>
      </c>
      <c r="E1" s="35" t="s">
        <v>1</v>
      </c>
      <c r="F1" s="35" t="s">
        <v>408</v>
      </c>
      <c r="G1" s="35" t="s">
        <v>0</v>
      </c>
      <c r="H1" s="36" t="s">
        <v>403</v>
      </c>
      <c r="I1" s="35" t="s">
        <v>404</v>
      </c>
      <c r="J1" s="35" t="s">
        <v>405</v>
      </c>
    </row>
    <row r="2" spans="1:10" x14ac:dyDescent="0.3">
      <c r="A2" s="16">
        <v>7</v>
      </c>
      <c r="B2" s="16">
        <v>332</v>
      </c>
      <c r="C2" s="16">
        <v>1</v>
      </c>
      <c r="D2" s="16" t="s">
        <v>401</v>
      </c>
      <c r="E2" s="17" t="s">
        <v>119</v>
      </c>
      <c r="F2" s="17" t="s">
        <v>117</v>
      </c>
      <c r="G2" s="17" t="s">
        <v>118</v>
      </c>
      <c r="H2" s="37">
        <v>5000000</v>
      </c>
      <c r="I2" s="17" t="s">
        <v>406</v>
      </c>
      <c r="J2" s="14"/>
    </row>
    <row r="3" spans="1:10" x14ac:dyDescent="0.3">
      <c r="A3" s="16">
        <v>13</v>
      </c>
      <c r="B3" s="16">
        <v>99</v>
      </c>
      <c r="C3" s="16">
        <v>2</v>
      </c>
      <c r="D3" s="16" t="s">
        <v>401</v>
      </c>
      <c r="E3" s="17" t="s">
        <v>119</v>
      </c>
      <c r="F3" s="17" t="s">
        <v>143</v>
      </c>
      <c r="G3" s="17" t="s">
        <v>144</v>
      </c>
      <c r="H3" s="37">
        <v>2680000</v>
      </c>
      <c r="I3" s="17" t="s">
        <v>406</v>
      </c>
      <c r="J3" s="14"/>
    </row>
    <row r="4" spans="1:10" x14ac:dyDescent="0.3">
      <c r="A4" s="16">
        <v>18</v>
      </c>
      <c r="B4" s="16">
        <v>94</v>
      </c>
      <c r="C4" s="16">
        <v>3</v>
      </c>
      <c r="D4" s="16" t="s">
        <v>401</v>
      </c>
      <c r="E4" s="17" t="s">
        <v>119</v>
      </c>
      <c r="F4" s="17" t="s">
        <v>31</v>
      </c>
      <c r="G4" s="17" t="s">
        <v>32</v>
      </c>
      <c r="H4" s="37">
        <v>5000000</v>
      </c>
      <c r="I4" s="17" t="s">
        <v>406</v>
      </c>
      <c r="J4" s="14"/>
    </row>
    <row r="5" spans="1:10" x14ac:dyDescent="0.3">
      <c r="A5" s="16">
        <v>5</v>
      </c>
      <c r="B5" s="16">
        <v>92</v>
      </c>
      <c r="C5" s="16">
        <v>4</v>
      </c>
      <c r="D5" s="16" t="s">
        <v>401</v>
      </c>
      <c r="E5" s="17" t="s">
        <v>119</v>
      </c>
      <c r="F5" s="17" t="s">
        <v>135</v>
      </c>
      <c r="G5" s="17" t="s">
        <v>136</v>
      </c>
      <c r="H5" s="37">
        <v>2100000</v>
      </c>
      <c r="I5" s="17" t="s">
        <v>406</v>
      </c>
      <c r="J5" s="14"/>
    </row>
    <row r="6" spans="1:10" x14ac:dyDescent="0.3">
      <c r="A6" s="16">
        <v>12</v>
      </c>
      <c r="B6" s="16">
        <v>90</v>
      </c>
      <c r="C6" s="16">
        <v>5</v>
      </c>
      <c r="D6" s="16" t="s">
        <v>401</v>
      </c>
      <c r="E6" s="17" t="s">
        <v>119</v>
      </c>
      <c r="F6" s="17" t="s">
        <v>141</v>
      </c>
      <c r="G6" s="17" t="s">
        <v>142</v>
      </c>
      <c r="H6" s="37">
        <v>2435000</v>
      </c>
      <c r="I6" s="17" t="s">
        <v>406</v>
      </c>
      <c r="J6" s="14"/>
    </row>
    <row r="7" spans="1:10" x14ac:dyDescent="0.3">
      <c r="A7" s="18">
        <v>4</v>
      </c>
      <c r="B7" s="18">
        <v>71</v>
      </c>
      <c r="C7" s="18">
        <v>6</v>
      </c>
      <c r="D7" s="18" t="s">
        <v>402</v>
      </c>
      <c r="E7" s="5" t="s">
        <v>119</v>
      </c>
      <c r="F7" s="5" t="s">
        <v>132</v>
      </c>
      <c r="G7" s="5" t="s">
        <v>133</v>
      </c>
      <c r="H7" s="21">
        <v>2200000</v>
      </c>
      <c r="I7" s="5" t="s">
        <v>407</v>
      </c>
      <c r="J7" s="14"/>
    </row>
    <row r="8" spans="1:10" x14ac:dyDescent="0.3">
      <c r="A8" s="18">
        <v>17</v>
      </c>
      <c r="B8" s="18">
        <v>22</v>
      </c>
      <c r="C8" s="18">
        <v>7</v>
      </c>
      <c r="D8" s="18" t="s">
        <v>402</v>
      </c>
      <c r="E8" s="5" t="s">
        <v>119</v>
      </c>
      <c r="F8" s="5" t="s">
        <v>122</v>
      </c>
      <c r="G8" s="5" t="s">
        <v>123</v>
      </c>
      <c r="H8" s="14">
        <v>5000000</v>
      </c>
      <c r="I8" s="5" t="s">
        <v>407</v>
      </c>
      <c r="J8" s="14"/>
    </row>
    <row r="9" spans="1:10" x14ac:dyDescent="0.3">
      <c r="A9" s="18">
        <v>15</v>
      </c>
      <c r="B9" s="18">
        <v>22</v>
      </c>
      <c r="C9" s="18">
        <v>8</v>
      </c>
      <c r="D9" s="18" t="s">
        <v>402</v>
      </c>
      <c r="E9" s="5" t="s">
        <v>119</v>
      </c>
      <c r="F9" s="5" t="s">
        <v>137</v>
      </c>
      <c r="G9" s="5" t="s">
        <v>138</v>
      </c>
      <c r="H9" s="14">
        <v>5000000</v>
      </c>
      <c r="I9" s="5" t="s">
        <v>407</v>
      </c>
      <c r="J9" s="14"/>
    </row>
    <row r="10" spans="1:10" x14ac:dyDescent="0.3">
      <c r="A10" s="16">
        <v>16</v>
      </c>
      <c r="B10" s="16">
        <v>20</v>
      </c>
      <c r="C10" s="16">
        <v>9</v>
      </c>
      <c r="D10" s="16" t="s">
        <v>401</v>
      </c>
      <c r="E10" s="17" t="s">
        <v>119</v>
      </c>
      <c r="F10" s="17" t="s">
        <v>11</v>
      </c>
      <c r="G10" s="17" t="s">
        <v>12</v>
      </c>
      <c r="H10" s="37">
        <v>630000</v>
      </c>
      <c r="I10" s="17" t="s">
        <v>406</v>
      </c>
      <c r="J10" s="14"/>
    </row>
    <row r="11" spans="1:10" x14ac:dyDescent="0.3">
      <c r="A11" s="16">
        <v>14</v>
      </c>
      <c r="B11" s="16">
        <v>20</v>
      </c>
      <c r="C11" s="16">
        <v>10</v>
      </c>
      <c r="D11" s="16" t="s">
        <v>401</v>
      </c>
      <c r="E11" s="17" t="s">
        <v>119</v>
      </c>
      <c r="F11" s="17" t="s">
        <v>124</v>
      </c>
      <c r="G11" s="17" t="s">
        <v>125</v>
      </c>
      <c r="H11" s="37">
        <v>429000</v>
      </c>
      <c r="I11" s="17" t="s">
        <v>406</v>
      </c>
      <c r="J11" s="14"/>
    </row>
    <row r="12" spans="1:10" x14ac:dyDescent="0.3">
      <c r="A12" s="18">
        <v>1</v>
      </c>
      <c r="B12" s="18">
        <v>14</v>
      </c>
      <c r="C12" s="18">
        <v>11</v>
      </c>
      <c r="D12" s="18" t="s">
        <v>402</v>
      </c>
      <c r="E12" s="5" t="s">
        <v>119</v>
      </c>
      <c r="F12" s="5" t="s">
        <v>39</v>
      </c>
      <c r="G12" s="5" t="s">
        <v>134</v>
      </c>
      <c r="H12" s="21">
        <v>226650</v>
      </c>
      <c r="I12" s="5" t="s">
        <v>407</v>
      </c>
      <c r="J12" s="14"/>
    </row>
    <row r="13" spans="1:10" x14ac:dyDescent="0.3">
      <c r="A13" s="16">
        <v>6</v>
      </c>
      <c r="B13" s="16">
        <v>12</v>
      </c>
      <c r="C13" s="16">
        <v>12</v>
      </c>
      <c r="D13" s="16" t="s">
        <v>401</v>
      </c>
      <c r="E13" s="17" t="s">
        <v>119</v>
      </c>
      <c r="F13" s="17" t="s">
        <v>130</v>
      </c>
      <c r="G13" s="17" t="s">
        <v>131</v>
      </c>
      <c r="H13" s="37">
        <v>104400</v>
      </c>
      <c r="I13" s="17" t="s">
        <v>406</v>
      </c>
      <c r="J13" s="19">
        <f>SUM(H2:H6,H10:H11,H13)</f>
        <v>18378400</v>
      </c>
    </row>
    <row r="14" spans="1:10" x14ac:dyDescent="0.3">
      <c r="A14" s="18">
        <v>2</v>
      </c>
      <c r="B14" s="18">
        <v>11</v>
      </c>
      <c r="C14" s="18">
        <v>13</v>
      </c>
      <c r="D14" s="18" t="s">
        <v>402</v>
      </c>
      <c r="E14" s="5" t="s">
        <v>119</v>
      </c>
      <c r="F14" s="5" t="s">
        <v>145</v>
      </c>
      <c r="G14" s="5" t="s">
        <v>146</v>
      </c>
      <c r="H14" s="14">
        <v>1680000</v>
      </c>
      <c r="I14" s="5" t="s">
        <v>407</v>
      </c>
      <c r="J14" s="14"/>
    </row>
    <row r="15" spans="1:10" x14ac:dyDescent="0.3">
      <c r="A15" s="18">
        <v>8</v>
      </c>
      <c r="B15" s="18">
        <v>9</v>
      </c>
      <c r="C15" s="18">
        <v>14</v>
      </c>
      <c r="D15" s="18" t="s">
        <v>402</v>
      </c>
      <c r="E15" s="5" t="s">
        <v>119</v>
      </c>
      <c r="F15" s="5" t="s">
        <v>126</v>
      </c>
      <c r="G15" s="5" t="s">
        <v>127</v>
      </c>
      <c r="H15" s="14">
        <v>245000</v>
      </c>
      <c r="I15" s="5" t="s">
        <v>407</v>
      </c>
      <c r="J15" s="14"/>
    </row>
    <row r="16" spans="1:10" x14ac:dyDescent="0.3">
      <c r="A16" s="18">
        <v>9</v>
      </c>
      <c r="B16" s="18">
        <v>9</v>
      </c>
      <c r="C16" s="18">
        <v>15</v>
      </c>
      <c r="D16" s="18" t="s">
        <v>402</v>
      </c>
      <c r="E16" s="5" t="s">
        <v>119</v>
      </c>
      <c r="F16" s="5" t="s">
        <v>27</v>
      </c>
      <c r="G16" s="5" t="s">
        <v>28</v>
      </c>
      <c r="H16" s="14">
        <v>336000</v>
      </c>
      <c r="I16" s="5" t="s">
        <v>407</v>
      </c>
      <c r="J16" s="14"/>
    </row>
    <row r="17" spans="1:10" x14ac:dyDescent="0.3">
      <c r="A17" s="18">
        <v>10</v>
      </c>
      <c r="B17" s="18">
        <v>6</v>
      </c>
      <c r="C17" s="18">
        <v>16</v>
      </c>
      <c r="D17" s="18" t="s">
        <v>402</v>
      </c>
      <c r="E17" s="5" t="s">
        <v>119</v>
      </c>
      <c r="F17" s="5" t="s">
        <v>120</v>
      </c>
      <c r="G17" s="5" t="s">
        <v>121</v>
      </c>
      <c r="H17" s="14">
        <v>302000</v>
      </c>
      <c r="I17" s="5" t="s">
        <v>407</v>
      </c>
      <c r="J17" s="14"/>
    </row>
    <row r="18" spans="1:10" x14ac:dyDescent="0.3">
      <c r="A18" s="18">
        <v>11</v>
      </c>
      <c r="B18" s="18">
        <v>5</v>
      </c>
      <c r="C18" s="18">
        <v>17</v>
      </c>
      <c r="D18" s="18" t="s">
        <v>402</v>
      </c>
      <c r="E18" s="5" t="s">
        <v>119</v>
      </c>
      <c r="F18" s="5" t="s">
        <v>128</v>
      </c>
      <c r="G18" s="5" t="s">
        <v>129</v>
      </c>
      <c r="H18" s="14">
        <v>675000</v>
      </c>
      <c r="I18" s="5" t="s">
        <v>407</v>
      </c>
      <c r="J18" s="14"/>
    </row>
    <row r="19" spans="1:10" ht="15" thickBot="1" x14ac:dyDescent="0.35">
      <c r="A19" s="27">
        <v>3</v>
      </c>
      <c r="B19" s="27">
        <v>3</v>
      </c>
      <c r="C19" s="27">
        <v>18</v>
      </c>
      <c r="D19" s="27" t="s">
        <v>402</v>
      </c>
      <c r="E19" s="28" t="s">
        <v>119</v>
      </c>
      <c r="F19" s="28" t="s">
        <v>139</v>
      </c>
      <c r="G19" s="28" t="s">
        <v>140</v>
      </c>
      <c r="H19" s="29">
        <v>615000</v>
      </c>
      <c r="I19" s="28" t="s">
        <v>407</v>
      </c>
      <c r="J19" s="29"/>
    </row>
    <row r="20" spans="1:10" x14ac:dyDescent="0.3">
      <c r="A20" s="24">
        <v>18</v>
      </c>
      <c r="B20" s="24">
        <v>210</v>
      </c>
      <c r="C20" s="24">
        <v>1</v>
      </c>
      <c r="D20" s="24" t="s">
        <v>401</v>
      </c>
      <c r="E20" s="25" t="s">
        <v>191</v>
      </c>
      <c r="F20" s="25" t="s">
        <v>201</v>
      </c>
      <c r="G20" s="25" t="s">
        <v>202</v>
      </c>
      <c r="H20" s="38">
        <v>1700000</v>
      </c>
      <c r="I20" s="25" t="s">
        <v>406</v>
      </c>
      <c r="J20" s="26"/>
    </row>
    <row r="21" spans="1:10" x14ac:dyDescent="0.3">
      <c r="A21" s="16">
        <v>1</v>
      </c>
      <c r="B21" s="16">
        <v>180</v>
      </c>
      <c r="C21" s="16">
        <v>2</v>
      </c>
      <c r="D21" s="16" t="s">
        <v>401</v>
      </c>
      <c r="E21" s="17" t="s">
        <v>191</v>
      </c>
      <c r="F21" s="17" t="s">
        <v>181</v>
      </c>
      <c r="G21" s="17" t="s">
        <v>217</v>
      </c>
      <c r="H21" s="37">
        <v>5000000</v>
      </c>
      <c r="I21" s="17" t="s">
        <v>406</v>
      </c>
      <c r="J21" s="14"/>
    </row>
    <row r="22" spans="1:10" x14ac:dyDescent="0.3">
      <c r="A22" s="16">
        <v>6</v>
      </c>
      <c r="B22" s="16">
        <v>163</v>
      </c>
      <c r="C22" s="16">
        <v>3</v>
      </c>
      <c r="D22" s="16" t="s">
        <v>401</v>
      </c>
      <c r="E22" s="17" t="s">
        <v>191</v>
      </c>
      <c r="F22" s="17" t="s">
        <v>215</v>
      </c>
      <c r="G22" s="17" t="s">
        <v>216</v>
      </c>
      <c r="H22" s="37">
        <v>5000000</v>
      </c>
      <c r="I22" s="17" t="s">
        <v>406</v>
      </c>
      <c r="J22" s="14"/>
    </row>
    <row r="23" spans="1:10" x14ac:dyDescent="0.3">
      <c r="A23" s="16">
        <v>17</v>
      </c>
      <c r="B23" s="16">
        <v>156</v>
      </c>
      <c r="C23" s="16">
        <v>4</v>
      </c>
      <c r="D23" s="16" t="s">
        <v>401</v>
      </c>
      <c r="E23" s="17" t="s">
        <v>191</v>
      </c>
      <c r="F23" s="17" t="s">
        <v>31</v>
      </c>
      <c r="G23" s="17" t="s">
        <v>32</v>
      </c>
      <c r="H23" s="37">
        <v>4387000</v>
      </c>
      <c r="I23" s="17" t="s">
        <v>406</v>
      </c>
      <c r="J23" s="14"/>
    </row>
    <row r="24" spans="1:10" x14ac:dyDescent="0.3">
      <c r="A24" s="16">
        <v>11</v>
      </c>
      <c r="B24" s="16">
        <v>129</v>
      </c>
      <c r="C24" s="16">
        <v>5</v>
      </c>
      <c r="D24" s="16" t="s">
        <v>401</v>
      </c>
      <c r="E24" s="17" t="s">
        <v>191</v>
      </c>
      <c r="F24" s="17" t="s">
        <v>210</v>
      </c>
      <c r="G24" s="17" t="s">
        <v>211</v>
      </c>
      <c r="H24" s="37">
        <v>1000000</v>
      </c>
      <c r="I24" s="17" t="s">
        <v>406</v>
      </c>
      <c r="J24" s="14"/>
    </row>
    <row r="25" spans="1:10" x14ac:dyDescent="0.3">
      <c r="A25" s="16">
        <v>10</v>
      </c>
      <c r="B25" s="16">
        <v>115</v>
      </c>
      <c r="C25" s="16">
        <v>6</v>
      </c>
      <c r="D25" s="16" t="s">
        <v>401</v>
      </c>
      <c r="E25" s="17" t="s">
        <v>191</v>
      </c>
      <c r="F25" s="17" t="s">
        <v>208</v>
      </c>
      <c r="G25" s="17" t="s">
        <v>209</v>
      </c>
      <c r="H25" s="37">
        <v>2500000</v>
      </c>
      <c r="I25" s="17" t="s">
        <v>406</v>
      </c>
      <c r="J25" s="14"/>
    </row>
    <row r="26" spans="1:10" x14ac:dyDescent="0.3">
      <c r="A26" s="16">
        <v>5</v>
      </c>
      <c r="B26" s="16">
        <v>107</v>
      </c>
      <c r="C26" s="16">
        <v>7</v>
      </c>
      <c r="D26" s="16" t="s">
        <v>401</v>
      </c>
      <c r="E26" s="17" t="s">
        <v>191</v>
      </c>
      <c r="F26" s="17" t="s">
        <v>213</v>
      </c>
      <c r="G26" s="17" t="s">
        <v>214</v>
      </c>
      <c r="H26" s="37">
        <v>2300000</v>
      </c>
      <c r="I26" s="17" t="s">
        <v>406</v>
      </c>
      <c r="J26" s="14"/>
    </row>
    <row r="27" spans="1:10" x14ac:dyDescent="0.3">
      <c r="A27" s="16">
        <v>8</v>
      </c>
      <c r="B27" s="16">
        <v>103</v>
      </c>
      <c r="C27" s="16">
        <v>8</v>
      </c>
      <c r="D27" s="16" t="s">
        <v>401</v>
      </c>
      <c r="E27" s="17" t="s">
        <v>191</v>
      </c>
      <c r="F27" s="17" t="s">
        <v>193</v>
      </c>
      <c r="G27" s="17" t="s">
        <v>194</v>
      </c>
      <c r="H27" s="37">
        <v>1560750</v>
      </c>
      <c r="I27" s="17" t="s">
        <v>406</v>
      </c>
      <c r="J27" s="14"/>
    </row>
    <row r="28" spans="1:10" x14ac:dyDescent="0.3">
      <c r="A28" s="16">
        <v>16</v>
      </c>
      <c r="B28" s="16">
        <v>102</v>
      </c>
      <c r="C28" s="16">
        <v>9</v>
      </c>
      <c r="D28" s="16" t="s">
        <v>401</v>
      </c>
      <c r="E28" s="17" t="s">
        <v>191</v>
      </c>
      <c r="F28" s="17" t="s">
        <v>198</v>
      </c>
      <c r="G28" s="17" t="s">
        <v>199</v>
      </c>
      <c r="H28" s="37">
        <v>2175000</v>
      </c>
      <c r="I28" s="17" t="s">
        <v>406</v>
      </c>
      <c r="J28" s="14"/>
    </row>
    <row r="29" spans="1:10" x14ac:dyDescent="0.3">
      <c r="A29" s="18">
        <v>9</v>
      </c>
      <c r="B29" s="18">
        <v>91</v>
      </c>
      <c r="C29" s="18">
        <v>10</v>
      </c>
      <c r="D29" s="18" t="s">
        <v>402</v>
      </c>
      <c r="E29" s="5" t="s">
        <v>191</v>
      </c>
      <c r="F29" s="5" t="s">
        <v>189</v>
      </c>
      <c r="G29" s="5" t="s">
        <v>190</v>
      </c>
      <c r="H29" s="14">
        <v>5000000</v>
      </c>
      <c r="I29" s="5" t="s">
        <v>407</v>
      </c>
      <c r="J29" s="14"/>
    </row>
    <row r="30" spans="1:10" x14ac:dyDescent="0.3">
      <c r="A30" s="16">
        <v>14</v>
      </c>
      <c r="B30" s="16">
        <v>55</v>
      </c>
      <c r="C30" s="16">
        <v>11</v>
      </c>
      <c r="D30" s="16" t="s">
        <v>401</v>
      </c>
      <c r="E30" s="17" t="s">
        <v>191</v>
      </c>
      <c r="F30" s="17" t="s">
        <v>124</v>
      </c>
      <c r="G30" s="17" t="s">
        <v>207</v>
      </c>
      <c r="H30" s="37">
        <v>343200</v>
      </c>
      <c r="I30" s="17" t="s">
        <v>406</v>
      </c>
      <c r="J30" s="19">
        <f>SUM(H20:H28,H30)</f>
        <v>25965950</v>
      </c>
    </row>
    <row r="31" spans="1:10" x14ac:dyDescent="0.3">
      <c r="A31" s="18">
        <v>13</v>
      </c>
      <c r="B31" s="18">
        <v>44</v>
      </c>
      <c r="C31" s="18">
        <v>12</v>
      </c>
      <c r="D31" s="18" t="s">
        <v>402</v>
      </c>
      <c r="E31" s="5" t="s">
        <v>191</v>
      </c>
      <c r="F31" s="5" t="s">
        <v>2</v>
      </c>
      <c r="G31" s="5" t="s">
        <v>212</v>
      </c>
      <c r="H31" s="14">
        <v>1350000</v>
      </c>
      <c r="I31" s="5" t="s">
        <v>407</v>
      </c>
      <c r="J31" s="14"/>
    </row>
    <row r="32" spans="1:10" x14ac:dyDescent="0.3">
      <c r="A32" s="18">
        <v>3</v>
      </c>
      <c r="B32" s="18">
        <v>33</v>
      </c>
      <c r="C32" s="18">
        <v>13</v>
      </c>
      <c r="D32" s="18" t="s">
        <v>402</v>
      </c>
      <c r="E32" s="5" t="s">
        <v>191</v>
      </c>
      <c r="F32" s="5" t="s">
        <v>37</v>
      </c>
      <c r="G32" s="5" t="s">
        <v>200</v>
      </c>
      <c r="H32" s="14">
        <v>840000</v>
      </c>
      <c r="I32" s="5" t="s">
        <v>407</v>
      </c>
      <c r="J32" s="14"/>
    </row>
    <row r="33" spans="1:10" x14ac:dyDescent="0.3">
      <c r="A33" s="18">
        <v>2</v>
      </c>
      <c r="B33" s="18">
        <v>33</v>
      </c>
      <c r="C33" s="18">
        <v>14</v>
      </c>
      <c r="D33" s="18" t="s">
        <v>402</v>
      </c>
      <c r="E33" s="5" t="s">
        <v>191</v>
      </c>
      <c r="F33" s="5" t="s">
        <v>205</v>
      </c>
      <c r="G33" s="5" t="s">
        <v>206</v>
      </c>
      <c r="H33" s="14">
        <v>1342500</v>
      </c>
      <c r="I33" s="5" t="s">
        <v>407</v>
      </c>
      <c r="J33" s="14"/>
    </row>
    <row r="34" spans="1:10" x14ac:dyDescent="0.3">
      <c r="A34" s="18">
        <v>15</v>
      </c>
      <c r="B34" s="18">
        <v>27</v>
      </c>
      <c r="C34" s="18">
        <v>15</v>
      </c>
      <c r="D34" s="18" t="s">
        <v>402</v>
      </c>
      <c r="E34" s="5" t="s">
        <v>191</v>
      </c>
      <c r="F34" s="5" t="s">
        <v>137</v>
      </c>
      <c r="G34" s="5" t="s">
        <v>197</v>
      </c>
      <c r="H34" s="14">
        <v>5000000</v>
      </c>
      <c r="I34" s="5" t="s">
        <v>407</v>
      </c>
      <c r="J34" s="14"/>
    </row>
    <row r="35" spans="1:10" x14ac:dyDescent="0.3">
      <c r="A35" s="18">
        <v>7</v>
      </c>
      <c r="B35" s="18">
        <v>23</v>
      </c>
      <c r="C35" s="18">
        <v>16</v>
      </c>
      <c r="D35" s="18" t="s">
        <v>402</v>
      </c>
      <c r="E35" s="5" t="s">
        <v>191</v>
      </c>
      <c r="F35" s="5" t="s">
        <v>37</v>
      </c>
      <c r="G35" s="5" t="s">
        <v>192</v>
      </c>
      <c r="H35" s="14">
        <v>1260000</v>
      </c>
      <c r="I35" s="5" t="s">
        <v>407</v>
      </c>
      <c r="J35" s="14"/>
    </row>
    <row r="36" spans="1:10" x14ac:dyDescent="0.3">
      <c r="A36" s="18">
        <v>12</v>
      </c>
      <c r="B36" s="18">
        <v>18</v>
      </c>
      <c r="C36" s="18">
        <v>17</v>
      </c>
      <c r="D36" s="18" t="s">
        <v>402</v>
      </c>
      <c r="E36" s="5" t="s">
        <v>191</v>
      </c>
      <c r="F36" s="5" t="s">
        <v>195</v>
      </c>
      <c r="G36" s="5" t="s">
        <v>196</v>
      </c>
      <c r="H36" s="14">
        <v>1380000</v>
      </c>
      <c r="I36" s="5" t="s">
        <v>407</v>
      </c>
      <c r="J36" s="14"/>
    </row>
    <row r="37" spans="1:10" ht="15" thickBot="1" x14ac:dyDescent="0.35">
      <c r="A37" s="27">
        <v>4</v>
      </c>
      <c r="B37" s="30">
        <v>13</v>
      </c>
      <c r="C37" s="27">
        <v>18</v>
      </c>
      <c r="D37" s="27" t="s">
        <v>402</v>
      </c>
      <c r="E37" s="28" t="s">
        <v>191</v>
      </c>
      <c r="F37" s="28" t="s">
        <v>203</v>
      </c>
      <c r="G37" s="28" t="s">
        <v>204</v>
      </c>
      <c r="H37" s="29">
        <v>1878000</v>
      </c>
      <c r="I37" s="28" t="s">
        <v>407</v>
      </c>
      <c r="J37" s="29"/>
    </row>
    <row r="38" spans="1:10" x14ac:dyDescent="0.3">
      <c r="A38" s="24">
        <v>12</v>
      </c>
      <c r="B38" s="24">
        <v>555</v>
      </c>
      <c r="C38" s="24">
        <v>1</v>
      </c>
      <c r="D38" s="24" t="s">
        <v>401</v>
      </c>
      <c r="E38" s="25" t="s">
        <v>336</v>
      </c>
      <c r="F38" s="25" t="s">
        <v>352</v>
      </c>
      <c r="G38" s="25" t="s">
        <v>353</v>
      </c>
      <c r="H38" s="38">
        <v>5000000</v>
      </c>
      <c r="I38" s="25" t="s">
        <v>406</v>
      </c>
      <c r="J38" s="26"/>
    </row>
    <row r="39" spans="1:10" x14ac:dyDescent="0.3">
      <c r="A39" s="16">
        <v>3</v>
      </c>
      <c r="B39" s="16">
        <v>443</v>
      </c>
      <c r="C39" s="16">
        <v>2</v>
      </c>
      <c r="D39" s="16" t="s">
        <v>401</v>
      </c>
      <c r="E39" s="17" t="s">
        <v>336</v>
      </c>
      <c r="F39" s="17" t="s">
        <v>370</v>
      </c>
      <c r="G39" s="17" t="s">
        <v>371</v>
      </c>
      <c r="H39" s="37">
        <v>5000000</v>
      </c>
      <c r="I39" s="17" t="s">
        <v>406</v>
      </c>
      <c r="J39" s="14"/>
    </row>
    <row r="40" spans="1:10" x14ac:dyDescent="0.3">
      <c r="A40" s="16">
        <v>7</v>
      </c>
      <c r="B40" s="16">
        <v>435</v>
      </c>
      <c r="C40" s="16">
        <v>3</v>
      </c>
      <c r="D40" s="16" t="s">
        <v>401</v>
      </c>
      <c r="E40" s="17" t="s">
        <v>336</v>
      </c>
      <c r="F40" s="17" t="s">
        <v>376</v>
      </c>
      <c r="G40" s="17" t="s">
        <v>377</v>
      </c>
      <c r="H40" s="37">
        <v>2384400</v>
      </c>
      <c r="I40" s="17" t="s">
        <v>406</v>
      </c>
      <c r="J40" s="14"/>
    </row>
    <row r="41" spans="1:10" x14ac:dyDescent="0.3">
      <c r="A41" s="16">
        <v>10</v>
      </c>
      <c r="B41" s="16">
        <v>184</v>
      </c>
      <c r="C41" s="16">
        <v>4</v>
      </c>
      <c r="D41" s="16" t="s">
        <v>401</v>
      </c>
      <c r="E41" s="17" t="s">
        <v>336</v>
      </c>
      <c r="F41" s="17" t="s">
        <v>341</v>
      </c>
      <c r="G41" s="17" t="s">
        <v>342</v>
      </c>
      <c r="H41" s="37">
        <v>5000000</v>
      </c>
      <c r="I41" s="17" t="s">
        <v>406</v>
      </c>
      <c r="J41" s="14"/>
    </row>
    <row r="42" spans="1:10" x14ac:dyDescent="0.3">
      <c r="A42" s="18">
        <v>4</v>
      </c>
      <c r="B42" s="18">
        <v>178</v>
      </c>
      <c r="C42" s="18">
        <v>5</v>
      </c>
      <c r="D42" s="18" t="s">
        <v>402</v>
      </c>
      <c r="E42" s="5" t="s">
        <v>336</v>
      </c>
      <c r="F42" s="5" t="s">
        <v>368</v>
      </c>
      <c r="G42" s="5" t="s">
        <v>369</v>
      </c>
      <c r="H42" s="14">
        <v>5000000</v>
      </c>
      <c r="I42" s="5" t="s">
        <v>407</v>
      </c>
      <c r="J42" s="14"/>
    </row>
    <row r="43" spans="1:10" x14ac:dyDescent="0.3">
      <c r="A43" s="18">
        <v>13</v>
      </c>
      <c r="B43" s="18">
        <v>106</v>
      </c>
      <c r="C43" s="18">
        <v>6</v>
      </c>
      <c r="D43" s="18" t="s">
        <v>402</v>
      </c>
      <c r="E43" s="5" t="s">
        <v>336</v>
      </c>
      <c r="F43" s="5" t="s">
        <v>385</v>
      </c>
      <c r="G43" s="5" t="s">
        <v>386</v>
      </c>
      <c r="H43" s="14">
        <v>5000000</v>
      </c>
      <c r="I43" s="5" t="s">
        <v>407</v>
      </c>
      <c r="J43" s="14"/>
    </row>
    <row r="44" spans="1:10" x14ac:dyDescent="0.3">
      <c r="A44" s="16">
        <v>2</v>
      </c>
      <c r="B44" s="16">
        <v>89</v>
      </c>
      <c r="C44" s="16">
        <v>7</v>
      </c>
      <c r="D44" s="16" t="s">
        <v>401</v>
      </c>
      <c r="E44" s="17" t="s">
        <v>336</v>
      </c>
      <c r="F44" s="17" t="s">
        <v>379</v>
      </c>
      <c r="G44" s="17" t="s">
        <v>380</v>
      </c>
      <c r="H44" s="37">
        <v>1300000</v>
      </c>
      <c r="I44" s="17" t="s">
        <v>406</v>
      </c>
      <c r="J44" s="14"/>
    </row>
    <row r="45" spans="1:10" x14ac:dyDescent="0.3">
      <c r="A45" s="18">
        <v>20</v>
      </c>
      <c r="B45" s="18">
        <v>82</v>
      </c>
      <c r="C45" s="18">
        <v>8</v>
      </c>
      <c r="D45" s="18" t="s">
        <v>402</v>
      </c>
      <c r="E45" s="5" t="s">
        <v>336</v>
      </c>
      <c r="F45" s="5" t="s">
        <v>360</v>
      </c>
      <c r="G45" s="5" t="s">
        <v>361</v>
      </c>
      <c r="H45" s="21">
        <v>3950000</v>
      </c>
      <c r="I45" s="5" t="s">
        <v>407</v>
      </c>
      <c r="J45" s="14"/>
    </row>
    <row r="46" spans="1:10" x14ac:dyDescent="0.3">
      <c r="A46" s="18">
        <v>28</v>
      </c>
      <c r="B46" s="18">
        <v>66</v>
      </c>
      <c r="C46" s="18">
        <v>9</v>
      </c>
      <c r="D46" s="18" t="s">
        <v>402</v>
      </c>
      <c r="E46" s="5" t="s">
        <v>336</v>
      </c>
      <c r="F46" s="5" t="s">
        <v>31</v>
      </c>
      <c r="G46" s="5" t="s">
        <v>32</v>
      </c>
      <c r="H46" s="14">
        <v>5000000</v>
      </c>
      <c r="I46" s="5" t="s">
        <v>407</v>
      </c>
      <c r="J46" s="14"/>
    </row>
    <row r="47" spans="1:10" x14ac:dyDescent="0.3">
      <c r="A47" s="16">
        <v>22</v>
      </c>
      <c r="B47" s="16">
        <v>55</v>
      </c>
      <c r="C47" s="16">
        <v>10</v>
      </c>
      <c r="D47" s="16" t="s">
        <v>401</v>
      </c>
      <c r="E47" s="17" t="s">
        <v>336</v>
      </c>
      <c r="F47" s="17" t="s">
        <v>337</v>
      </c>
      <c r="G47" s="17" t="s">
        <v>338</v>
      </c>
      <c r="H47" s="37">
        <v>813500</v>
      </c>
      <c r="I47" s="17" t="s">
        <v>406</v>
      </c>
      <c r="J47" s="14"/>
    </row>
    <row r="48" spans="1:10" x14ac:dyDescent="0.3">
      <c r="A48" s="18">
        <v>24</v>
      </c>
      <c r="B48" s="18">
        <v>49</v>
      </c>
      <c r="C48" s="18">
        <v>11</v>
      </c>
      <c r="D48" s="18" t="s">
        <v>402</v>
      </c>
      <c r="E48" s="5" t="s">
        <v>336</v>
      </c>
      <c r="F48" s="5" t="s">
        <v>354</v>
      </c>
      <c r="G48" s="5" t="s">
        <v>355</v>
      </c>
      <c r="H48" s="14">
        <v>5000000</v>
      </c>
      <c r="I48" s="5" t="s">
        <v>407</v>
      </c>
      <c r="J48" s="14"/>
    </row>
    <row r="49" spans="1:10" x14ac:dyDescent="0.3">
      <c r="A49" s="16">
        <v>9</v>
      </c>
      <c r="B49" s="16">
        <v>45</v>
      </c>
      <c r="C49" s="16">
        <v>12</v>
      </c>
      <c r="D49" s="16" t="s">
        <v>401</v>
      </c>
      <c r="E49" s="17" t="s">
        <v>336</v>
      </c>
      <c r="F49" s="17" t="s">
        <v>350</v>
      </c>
      <c r="G49" s="17" t="s">
        <v>351</v>
      </c>
      <c r="H49" s="37">
        <v>357585</v>
      </c>
      <c r="I49" s="17" t="s">
        <v>406</v>
      </c>
      <c r="J49" s="14"/>
    </row>
    <row r="50" spans="1:10" x14ac:dyDescent="0.3">
      <c r="A50" s="18">
        <v>18</v>
      </c>
      <c r="B50" s="18">
        <v>43</v>
      </c>
      <c r="C50" s="18">
        <v>13</v>
      </c>
      <c r="D50" s="18" t="s">
        <v>402</v>
      </c>
      <c r="E50" s="5" t="s">
        <v>336</v>
      </c>
      <c r="F50" s="5" t="s">
        <v>366</v>
      </c>
      <c r="G50" s="5" t="s">
        <v>367</v>
      </c>
      <c r="H50" s="14">
        <v>5000000</v>
      </c>
      <c r="I50" s="5" t="s">
        <v>407</v>
      </c>
      <c r="J50" s="14"/>
    </row>
    <row r="51" spans="1:10" x14ac:dyDescent="0.3">
      <c r="A51" s="16">
        <v>19</v>
      </c>
      <c r="B51" s="16">
        <v>32</v>
      </c>
      <c r="C51" s="16">
        <v>14</v>
      </c>
      <c r="D51" s="16" t="s">
        <v>401</v>
      </c>
      <c r="E51" s="17" t="s">
        <v>336</v>
      </c>
      <c r="F51" s="17" t="s">
        <v>334</v>
      </c>
      <c r="G51" s="17" t="s">
        <v>335</v>
      </c>
      <c r="H51" s="37">
        <v>1340000</v>
      </c>
      <c r="I51" s="17" t="s">
        <v>406</v>
      </c>
      <c r="J51" s="14"/>
    </row>
    <row r="52" spans="1:10" x14ac:dyDescent="0.3">
      <c r="A52" s="16">
        <v>16</v>
      </c>
      <c r="B52" s="16">
        <v>27</v>
      </c>
      <c r="C52" s="16">
        <v>15</v>
      </c>
      <c r="D52" s="16" t="s">
        <v>401</v>
      </c>
      <c r="E52" s="17" t="s">
        <v>336</v>
      </c>
      <c r="F52" s="17" t="s">
        <v>387</v>
      </c>
      <c r="G52" s="17" t="s">
        <v>388</v>
      </c>
      <c r="H52" s="37">
        <v>732750</v>
      </c>
      <c r="I52" s="17" t="s">
        <v>406</v>
      </c>
      <c r="J52" s="19">
        <f>SUM(H38:H41,H44,H47,H49,H51:H52)</f>
        <v>21928235</v>
      </c>
    </row>
    <row r="53" spans="1:10" x14ac:dyDescent="0.3">
      <c r="A53" s="18">
        <v>17</v>
      </c>
      <c r="B53" s="18">
        <v>24</v>
      </c>
      <c r="C53" s="18">
        <v>16</v>
      </c>
      <c r="D53" s="18" t="s">
        <v>402</v>
      </c>
      <c r="E53" s="5" t="s">
        <v>336</v>
      </c>
      <c r="F53" s="5" t="s">
        <v>37</v>
      </c>
      <c r="G53" s="5" t="s">
        <v>349</v>
      </c>
      <c r="H53" s="14">
        <v>1650000</v>
      </c>
      <c r="I53" s="5" t="s">
        <v>407</v>
      </c>
      <c r="J53" s="14"/>
    </row>
    <row r="54" spans="1:10" x14ac:dyDescent="0.3">
      <c r="A54" s="18">
        <v>6</v>
      </c>
      <c r="B54" s="18">
        <v>23</v>
      </c>
      <c r="C54" s="18">
        <v>17</v>
      </c>
      <c r="D54" s="18" t="s">
        <v>402</v>
      </c>
      <c r="E54" s="5" t="s">
        <v>336</v>
      </c>
      <c r="F54" s="5" t="s">
        <v>2</v>
      </c>
      <c r="G54" s="5" t="s">
        <v>378</v>
      </c>
      <c r="H54" s="14">
        <v>675000</v>
      </c>
      <c r="I54" s="5" t="s">
        <v>407</v>
      </c>
      <c r="J54" s="14"/>
    </row>
    <row r="55" spans="1:10" x14ac:dyDescent="0.3">
      <c r="A55" s="18">
        <v>25</v>
      </c>
      <c r="B55" s="18">
        <v>22</v>
      </c>
      <c r="C55" s="18">
        <v>18</v>
      </c>
      <c r="D55" s="18" t="s">
        <v>402</v>
      </c>
      <c r="E55" s="5" t="s">
        <v>336</v>
      </c>
      <c r="F55" s="5" t="s">
        <v>339</v>
      </c>
      <c r="G55" s="5" t="s">
        <v>340</v>
      </c>
      <c r="H55" s="14">
        <v>840000</v>
      </c>
      <c r="I55" s="5" t="s">
        <v>407</v>
      </c>
      <c r="J55" s="14"/>
    </row>
    <row r="56" spans="1:10" x14ac:dyDescent="0.3">
      <c r="A56" s="18">
        <v>5</v>
      </c>
      <c r="B56" s="18">
        <v>20</v>
      </c>
      <c r="C56" s="18">
        <v>19</v>
      </c>
      <c r="D56" s="18" t="s">
        <v>402</v>
      </c>
      <c r="E56" s="5" t="s">
        <v>336</v>
      </c>
      <c r="F56" s="5" t="s">
        <v>27</v>
      </c>
      <c r="G56" s="5" t="s">
        <v>28</v>
      </c>
      <c r="H56" s="14">
        <v>420000</v>
      </c>
      <c r="I56" s="5" t="s">
        <v>407</v>
      </c>
      <c r="J56" s="14"/>
    </row>
    <row r="57" spans="1:10" x14ac:dyDescent="0.3">
      <c r="A57" s="18">
        <v>1</v>
      </c>
      <c r="B57" s="18">
        <v>20</v>
      </c>
      <c r="C57" s="18">
        <v>20</v>
      </c>
      <c r="D57" s="18" t="s">
        <v>402</v>
      </c>
      <c r="E57" s="5" t="s">
        <v>336</v>
      </c>
      <c r="F57" s="5" t="s">
        <v>356</v>
      </c>
      <c r="G57" s="5" t="s">
        <v>357</v>
      </c>
      <c r="H57" s="14">
        <v>2100000</v>
      </c>
      <c r="I57" s="5" t="s">
        <v>407</v>
      </c>
      <c r="J57" s="14"/>
    </row>
    <row r="58" spans="1:10" x14ac:dyDescent="0.3">
      <c r="A58" s="18">
        <v>26</v>
      </c>
      <c r="B58" s="18">
        <v>19</v>
      </c>
      <c r="C58" s="18">
        <v>21</v>
      </c>
      <c r="D58" s="18" t="s">
        <v>402</v>
      </c>
      <c r="E58" s="5" t="s">
        <v>336</v>
      </c>
      <c r="F58" s="5" t="s">
        <v>347</v>
      </c>
      <c r="G58" s="5" t="s">
        <v>348</v>
      </c>
      <c r="H58" s="14">
        <v>4500000</v>
      </c>
      <c r="I58" s="5" t="s">
        <v>407</v>
      </c>
      <c r="J58" s="14"/>
    </row>
    <row r="59" spans="1:10" x14ac:dyDescent="0.3">
      <c r="A59" s="18">
        <v>14</v>
      </c>
      <c r="B59" s="18">
        <v>17</v>
      </c>
      <c r="C59" s="18">
        <v>22</v>
      </c>
      <c r="D59" s="18" t="s">
        <v>402</v>
      </c>
      <c r="E59" s="5" t="s">
        <v>336</v>
      </c>
      <c r="F59" s="5" t="s">
        <v>364</v>
      </c>
      <c r="G59" s="5" t="s">
        <v>365</v>
      </c>
      <c r="H59" s="14">
        <v>5000000</v>
      </c>
      <c r="I59" s="5" t="s">
        <v>407</v>
      </c>
      <c r="J59" s="14"/>
    </row>
    <row r="60" spans="1:10" x14ac:dyDescent="0.3">
      <c r="A60" s="18">
        <v>23</v>
      </c>
      <c r="B60" s="18">
        <v>16</v>
      </c>
      <c r="C60" s="18">
        <v>23</v>
      </c>
      <c r="D60" s="18" t="s">
        <v>402</v>
      </c>
      <c r="E60" s="5" t="s">
        <v>336</v>
      </c>
      <c r="F60" s="5" t="s">
        <v>358</v>
      </c>
      <c r="G60" s="5" t="s">
        <v>359</v>
      </c>
      <c r="H60" s="21">
        <v>145000</v>
      </c>
      <c r="I60" s="5" t="s">
        <v>407</v>
      </c>
      <c r="J60" s="21"/>
    </row>
    <row r="61" spans="1:10" x14ac:dyDescent="0.3">
      <c r="A61" s="18">
        <v>21</v>
      </c>
      <c r="B61" s="18">
        <v>13</v>
      </c>
      <c r="C61" s="18">
        <v>24</v>
      </c>
      <c r="D61" s="18" t="s">
        <v>402</v>
      </c>
      <c r="E61" s="5" t="s">
        <v>336</v>
      </c>
      <c r="F61" s="5" t="s">
        <v>362</v>
      </c>
      <c r="G61" s="5" t="s">
        <v>363</v>
      </c>
      <c r="H61" s="14">
        <v>2100000</v>
      </c>
      <c r="I61" s="5" t="s">
        <v>407</v>
      </c>
      <c r="J61" s="14"/>
    </row>
    <row r="62" spans="1:10" x14ac:dyDescent="0.3">
      <c r="A62" s="18">
        <v>29</v>
      </c>
      <c r="B62" s="18">
        <v>12</v>
      </c>
      <c r="C62" s="18">
        <v>25</v>
      </c>
      <c r="D62" s="18" t="s">
        <v>402</v>
      </c>
      <c r="E62" s="5" t="s">
        <v>336</v>
      </c>
      <c r="F62" s="5" t="s">
        <v>381</v>
      </c>
      <c r="G62" s="5" t="s">
        <v>382</v>
      </c>
      <c r="H62" s="14">
        <v>430000</v>
      </c>
      <c r="I62" s="5" t="s">
        <v>407</v>
      </c>
      <c r="J62" s="14"/>
    </row>
    <row r="63" spans="1:10" x14ac:dyDescent="0.3">
      <c r="A63" s="18">
        <v>8</v>
      </c>
      <c r="B63" s="18">
        <v>7</v>
      </c>
      <c r="C63" s="18">
        <v>26</v>
      </c>
      <c r="D63" s="18" t="s">
        <v>402</v>
      </c>
      <c r="E63" s="5" t="s">
        <v>336</v>
      </c>
      <c r="F63" s="5" t="s">
        <v>374</v>
      </c>
      <c r="G63" s="5" t="s">
        <v>375</v>
      </c>
      <c r="H63" s="14">
        <v>1310000</v>
      </c>
      <c r="I63" s="5" t="s">
        <v>407</v>
      </c>
      <c r="J63" s="14"/>
    </row>
    <row r="64" spans="1:10" x14ac:dyDescent="0.3">
      <c r="A64" s="18">
        <v>27</v>
      </c>
      <c r="B64" s="18">
        <v>7</v>
      </c>
      <c r="C64" s="18">
        <v>27</v>
      </c>
      <c r="D64" s="18" t="s">
        <v>402</v>
      </c>
      <c r="E64" s="5" t="s">
        <v>336</v>
      </c>
      <c r="F64" s="5" t="s">
        <v>383</v>
      </c>
      <c r="G64" s="5" t="s">
        <v>384</v>
      </c>
      <c r="H64" s="14">
        <v>4140000</v>
      </c>
      <c r="I64" s="5" t="s">
        <v>407</v>
      </c>
      <c r="J64" s="14"/>
    </row>
    <row r="65" spans="1:10" x14ac:dyDescent="0.3">
      <c r="A65" s="18">
        <v>11</v>
      </c>
      <c r="B65" s="18">
        <v>6</v>
      </c>
      <c r="C65" s="18">
        <v>28</v>
      </c>
      <c r="D65" s="18" t="s">
        <v>402</v>
      </c>
      <c r="E65" s="5" t="s">
        <v>336</v>
      </c>
      <c r="F65" s="5" t="s">
        <v>345</v>
      </c>
      <c r="G65" s="5" t="s">
        <v>346</v>
      </c>
      <c r="H65" s="14">
        <v>900000</v>
      </c>
      <c r="I65" s="5" t="s">
        <v>407</v>
      </c>
      <c r="J65" s="14"/>
    </row>
    <row r="66" spans="1:10" x14ac:dyDescent="0.3">
      <c r="A66" s="18">
        <v>30</v>
      </c>
      <c r="B66" s="18">
        <v>6</v>
      </c>
      <c r="C66" s="18">
        <v>29</v>
      </c>
      <c r="D66" s="18" t="s">
        <v>402</v>
      </c>
      <c r="E66" s="5" t="s">
        <v>336</v>
      </c>
      <c r="F66" s="5" t="s">
        <v>372</v>
      </c>
      <c r="G66" s="5" t="s">
        <v>373</v>
      </c>
      <c r="H66" s="14">
        <v>354000</v>
      </c>
      <c r="I66" s="5" t="s">
        <v>407</v>
      </c>
      <c r="J66" s="14"/>
    </row>
    <row r="67" spans="1:10" ht="15" thickBot="1" x14ac:dyDescent="0.35">
      <c r="A67" s="27">
        <v>15</v>
      </c>
      <c r="B67" s="27">
        <v>2</v>
      </c>
      <c r="C67" s="27">
        <v>30</v>
      </c>
      <c r="D67" s="27" t="s">
        <v>402</v>
      </c>
      <c r="E67" s="28" t="s">
        <v>336</v>
      </c>
      <c r="F67" s="28" t="s">
        <v>343</v>
      </c>
      <c r="G67" s="28" t="s">
        <v>344</v>
      </c>
      <c r="H67" s="29">
        <v>315000</v>
      </c>
      <c r="I67" s="28" t="s">
        <v>407</v>
      </c>
      <c r="J67" s="29"/>
    </row>
    <row r="68" spans="1:10" x14ac:dyDescent="0.3">
      <c r="A68" s="24">
        <v>9</v>
      </c>
      <c r="B68" s="24">
        <v>318</v>
      </c>
      <c r="C68" s="24">
        <v>1</v>
      </c>
      <c r="D68" s="24" t="s">
        <v>401</v>
      </c>
      <c r="E68" s="25" t="s">
        <v>165</v>
      </c>
      <c r="F68" s="25" t="s">
        <v>117</v>
      </c>
      <c r="G68" s="25" t="s">
        <v>170</v>
      </c>
      <c r="H68" s="38">
        <v>5000000</v>
      </c>
      <c r="I68" s="25" t="s">
        <v>406</v>
      </c>
      <c r="J68" s="26"/>
    </row>
    <row r="69" spans="1:10" x14ac:dyDescent="0.3">
      <c r="A69" s="16">
        <v>7</v>
      </c>
      <c r="B69" s="16">
        <v>118</v>
      </c>
      <c r="C69" s="16">
        <v>2</v>
      </c>
      <c r="D69" s="16" t="s">
        <v>401</v>
      </c>
      <c r="E69" s="17" t="s">
        <v>165</v>
      </c>
      <c r="F69" s="17" t="s">
        <v>177</v>
      </c>
      <c r="G69" s="17" t="s">
        <v>178</v>
      </c>
      <c r="H69" s="37">
        <v>2400000</v>
      </c>
      <c r="I69" s="17" t="s">
        <v>406</v>
      </c>
      <c r="J69" s="14"/>
    </row>
    <row r="70" spans="1:10" x14ac:dyDescent="0.3">
      <c r="A70" s="16">
        <v>10</v>
      </c>
      <c r="B70" s="16">
        <v>112</v>
      </c>
      <c r="C70" s="16">
        <v>3</v>
      </c>
      <c r="D70" s="16" t="s">
        <v>401</v>
      </c>
      <c r="E70" s="17" t="s">
        <v>165</v>
      </c>
      <c r="F70" s="17" t="s">
        <v>185</v>
      </c>
      <c r="G70" s="17" t="s">
        <v>186</v>
      </c>
      <c r="H70" s="37">
        <v>1613000</v>
      </c>
      <c r="I70" s="17" t="s">
        <v>406</v>
      </c>
      <c r="J70" s="14"/>
    </row>
    <row r="71" spans="1:10" x14ac:dyDescent="0.3">
      <c r="A71" s="16">
        <v>4</v>
      </c>
      <c r="B71" s="16">
        <v>110</v>
      </c>
      <c r="C71" s="16">
        <v>4</v>
      </c>
      <c r="D71" s="16" t="s">
        <v>401</v>
      </c>
      <c r="E71" s="17" t="s">
        <v>165</v>
      </c>
      <c r="F71" s="17" t="s">
        <v>181</v>
      </c>
      <c r="G71" s="17" t="s">
        <v>182</v>
      </c>
      <c r="H71" s="37">
        <v>1947000</v>
      </c>
      <c r="I71" s="17" t="s">
        <v>406</v>
      </c>
      <c r="J71" s="14"/>
    </row>
    <row r="72" spans="1:10" x14ac:dyDescent="0.3">
      <c r="A72" s="16">
        <v>8</v>
      </c>
      <c r="B72" s="16">
        <v>64</v>
      </c>
      <c r="C72" s="16">
        <v>5</v>
      </c>
      <c r="D72" s="16" t="s">
        <v>401</v>
      </c>
      <c r="E72" s="17" t="s">
        <v>165</v>
      </c>
      <c r="F72" s="17" t="s">
        <v>187</v>
      </c>
      <c r="G72" s="17" t="s">
        <v>188</v>
      </c>
      <c r="H72" s="37">
        <v>2200000</v>
      </c>
      <c r="I72" s="17" t="s">
        <v>406</v>
      </c>
      <c r="J72" s="14"/>
    </row>
    <row r="73" spans="1:10" x14ac:dyDescent="0.3">
      <c r="A73" s="16">
        <v>13</v>
      </c>
      <c r="B73" s="16">
        <v>47</v>
      </c>
      <c r="C73" s="16">
        <v>6</v>
      </c>
      <c r="D73" s="16" t="s">
        <v>401</v>
      </c>
      <c r="E73" s="17" t="s">
        <v>165</v>
      </c>
      <c r="F73" s="17" t="s">
        <v>31</v>
      </c>
      <c r="G73" s="17" t="s">
        <v>32</v>
      </c>
      <c r="H73" s="37">
        <v>5000000</v>
      </c>
      <c r="I73" s="17" t="s">
        <v>406</v>
      </c>
      <c r="J73" s="14"/>
    </row>
    <row r="74" spans="1:10" x14ac:dyDescent="0.3">
      <c r="A74" s="18">
        <v>14</v>
      </c>
      <c r="B74" s="18">
        <v>27</v>
      </c>
      <c r="C74" s="18">
        <v>7</v>
      </c>
      <c r="D74" s="18" t="s">
        <v>402</v>
      </c>
      <c r="E74" s="5" t="s">
        <v>165</v>
      </c>
      <c r="F74" s="5" t="s">
        <v>175</v>
      </c>
      <c r="G74" s="5" t="s">
        <v>176</v>
      </c>
      <c r="H74" s="14">
        <v>395000</v>
      </c>
      <c r="I74" s="5" t="s">
        <v>407</v>
      </c>
      <c r="J74" s="14"/>
    </row>
    <row r="75" spans="1:10" x14ac:dyDescent="0.3">
      <c r="A75" s="18">
        <v>6</v>
      </c>
      <c r="B75" s="18">
        <v>20</v>
      </c>
      <c r="C75" s="18">
        <v>8</v>
      </c>
      <c r="D75" s="18" t="s">
        <v>402</v>
      </c>
      <c r="E75" s="5" t="s">
        <v>165</v>
      </c>
      <c r="F75" s="5" t="s">
        <v>171</v>
      </c>
      <c r="G75" s="5" t="s">
        <v>172</v>
      </c>
      <c r="H75" s="14">
        <v>5000000</v>
      </c>
      <c r="I75" s="5" t="s">
        <v>407</v>
      </c>
      <c r="J75" s="14"/>
    </row>
    <row r="76" spans="1:10" x14ac:dyDescent="0.3">
      <c r="A76" s="18">
        <v>12</v>
      </c>
      <c r="B76" s="18">
        <v>12</v>
      </c>
      <c r="C76" s="18">
        <v>9</v>
      </c>
      <c r="D76" s="18" t="s">
        <v>402</v>
      </c>
      <c r="E76" s="5" t="s">
        <v>165</v>
      </c>
      <c r="F76" s="5" t="s">
        <v>88</v>
      </c>
      <c r="G76" s="5" t="s">
        <v>164</v>
      </c>
      <c r="H76" s="14">
        <v>450000</v>
      </c>
      <c r="I76" s="5" t="s">
        <v>407</v>
      </c>
      <c r="J76" s="14"/>
    </row>
    <row r="77" spans="1:10" x14ac:dyDescent="0.3">
      <c r="A77" s="18">
        <v>5</v>
      </c>
      <c r="B77" s="18">
        <v>11</v>
      </c>
      <c r="C77" s="18">
        <v>10</v>
      </c>
      <c r="D77" s="18" t="s">
        <v>402</v>
      </c>
      <c r="E77" s="5" t="s">
        <v>165</v>
      </c>
      <c r="F77" s="5" t="s">
        <v>173</v>
      </c>
      <c r="G77" s="5" t="s">
        <v>174</v>
      </c>
      <c r="H77" s="14">
        <v>4200000</v>
      </c>
      <c r="I77" s="5" t="s">
        <v>407</v>
      </c>
      <c r="J77" s="14"/>
    </row>
    <row r="78" spans="1:10" x14ac:dyDescent="0.3">
      <c r="A78" s="18">
        <v>11</v>
      </c>
      <c r="B78" s="20">
        <v>7</v>
      </c>
      <c r="C78" s="18">
        <v>11</v>
      </c>
      <c r="D78" s="18" t="s">
        <v>402</v>
      </c>
      <c r="E78" s="5" t="s">
        <v>165</v>
      </c>
      <c r="F78" s="5" t="s">
        <v>166</v>
      </c>
      <c r="G78" s="5" t="s">
        <v>167</v>
      </c>
      <c r="H78" s="14">
        <v>384000</v>
      </c>
      <c r="I78" s="5" t="s">
        <v>407</v>
      </c>
      <c r="J78" s="14"/>
    </row>
    <row r="79" spans="1:10" x14ac:dyDescent="0.3">
      <c r="A79" s="16">
        <v>2</v>
      </c>
      <c r="B79" s="22">
        <v>5</v>
      </c>
      <c r="C79" s="16">
        <v>12</v>
      </c>
      <c r="D79" s="16" t="s">
        <v>401</v>
      </c>
      <c r="E79" s="17" t="s">
        <v>165</v>
      </c>
      <c r="F79" s="17" t="s">
        <v>168</v>
      </c>
      <c r="G79" s="17" t="s">
        <v>169</v>
      </c>
      <c r="H79" s="37">
        <v>250000</v>
      </c>
      <c r="I79" s="17" t="s">
        <v>406</v>
      </c>
      <c r="J79" s="19">
        <f>SUM(H68:H73,H79)</f>
        <v>18410000</v>
      </c>
    </row>
    <row r="80" spans="1:10" x14ac:dyDescent="0.3">
      <c r="A80" s="18">
        <v>3</v>
      </c>
      <c r="B80" s="20">
        <v>5</v>
      </c>
      <c r="C80" s="18">
        <v>13</v>
      </c>
      <c r="D80" s="18" t="s">
        <v>402</v>
      </c>
      <c r="E80" s="5" t="s">
        <v>165</v>
      </c>
      <c r="F80" s="5" t="s">
        <v>179</v>
      </c>
      <c r="G80" s="5" t="s">
        <v>180</v>
      </c>
      <c r="H80" s="14">
        <v>495000</v>
      </c>
      <c r="I80" s="5" t="s">
        <v>407</v>
      </c>
      <c r="J80" s="14"/>
    </row>
    <row r="81" spans="1:10" ht="15" thickBot="1" x14ac:dyDescent="0.35">
      <c r="A81" s="27">
        <v>1</v>
      </c>
      <c r="B81" s="30">
        <v>5</v>
      </c>
      <c r="C81" s="27">
        <v>14</v>
      </c>
      <c r="D81" s="27" t="s">
        <v>402</v>
      </c>
      <c r="E81" s="28" t="s">
        <v>165</v>
      </c>
      <c r="F81" s="28" t="s">
        <v>183</v>
      </c>
      <c r="G81" s="28" t="s">
        <v>184</v>
      </c>
      <c r="H81" s="29">
        <v>300000</v>
      </c>
      <c r="I81" s="28" t="s">
        <v>407</v>
      </c>
      <c r="J81" s="29"/>
    </row>
    <row r="82" spans="1:10" x14ac:dyDescent="0.3">
      <c r="A82" s="24">
        <v>27</v>
      </c>
      <c r="B82" s="24">
        <v>262</v>
      </c>
      <c r="C82" s="24">
        <v>1</v>
      </c>
      <c r="D82" s="24" t="s">
        <v>401</v>
      </c>
      <c r="E82" s="25" t="s">
        <v>45</v>
      </c>
      <c r="F82" s="25" t="s">
        <v>103</v>
      </c>
      <c r="G82" s="25" t="s">
        <v>104</v>
      </c>
      <c r="H82" s="38">
        <v>1650000</v>
      </c>
      <c r="I82" s="25" t="s">
        <v>406</v>
      </c>
      <c r="J82" s="26"/>
    </row>
    <row r="83" spans="1:10" x14ac:dyDescent="0.3">
      <c r="A83" s="16">
        <v>4</v>
      </c>
      <c r="B83" s="16">
        <v>256</v>
      </c>
      <c r="C83" s="16">
        <v>2</v>
      </c>
      <c r="D83" s="16" t="s">
        <v>401</v>
      </c>
      <c r="E83" s="17" t="s">
        <v>45</v>
      </c>
      <c r="F83" s="17" t="s">
        <v>105</v>
      </c>
      <c r="G83" s="17" t="s">
        <v>106</v>
      </c>
      <c r="H83" s="37">
        <v>5000000</v>
      </c>
      <c r="I83" s="17" t="s">
        <v>406</v>
      </c>
      <c r="J83" s="14"/>
    </row>
    <row r="84" spans="1:10" x14ac:dyDescent="0.3">
      <c r="A84" s="16">
        <v>1</v>
      </c>
      <c r="B84" s="16">
        <v>191</v>
      </c>
      <c r="C84" s="16">
        <v>3</v>
      </c>
      <c r="D84" s="16" t="s">
        <v>401</v>
      </c>
      <c r="E84" s="17" t="s">
        <v>45</v>
      </c>
      <c r="F84" s="17" t="s">
        <v>74</v>
      </c>
      <c r="G84" s="17" t="s">
        <v>75</v>
      </c>
      <c r="H84" s="37">
        <v>5000000</v>
      </c>
      <c r="I84" s="17" t="s">
        <v>406</v>
      </c>
      <c r="J84" s="14"/>
    </row>
    <row r="85" spans="1:10" x14ac:dyDescent="0.3">
      <c r="A85" s="16">
        <v>29</v>
      </c>
      <c r="B85" s="16">
        <v>175</v>
      </c>
      <c r="C85" s="16">
        <v>4</v>
      </c>
      <c r="D85" s="16" t="s">
        <v>401</v>
      </c>
      <c r="E85" s="17" t="s">
        <v>45</v>
      </c>
      <c r="F85" s="17" t="s">
        <v>94</v>
      </c>
      <c r="G85" s="17" t="s">
        <v>95</v>
      </c>
      <c r="H85" s="37">
        <v>5000000</v>
      </c>
      <c r="I85" s="17" t="s">
        <v>406</v>
      </c>
      <c r="J85" s="14"/>
    </row>
    <row r="86" spans="1:10" x14ac:dyDescent="0.3">
      <c r="A86" s="16">
        <v>37</v>
      </c>
      <c r="B86" s="16">
        <v>160</v>
      </c>
      <c r="C86" s="16">
        <v>5</v>
      </c>
      <c r="D86" s="16" t="s">
        <v>401</v>
      </c>
      <c r="E86" s="17" t="s">
        <v>45</v>
      </c>
      <c r="F86" s="17" t="s">
        <v>67</v>
      </c>
      <c r="G86" s="17" t="s">
        <v>68</v>
      </c>
      <c r="H86" s="37">
        <v>450000</v>
      </c>
      <c r="I86" s="17" t="s">
        <v>406</v>
      </c>
      <c r="J86" s="14"/>
    </row>
    <row r="87" spans="1:10" x14ac:dyDescent="0.3">
      <c r="A87" s="16">
        <v>2</v>
      </c>
      <c r="B87" s="16">
        <v>123</v>
      </c>
      <c r="C87" s="16">
        <v>6</v>
      </c>
      <c r="D87" s="16" t="s">
        <v>401</v>
      </c>
      <c r="E87" s="17" t="s">
        <v>45</v>
      </c>
      <c r="F87" s="17" t="s">
        <v>52</v>
      </c>
      <c r="G87" s="17" t="s">
        <v>53</v>
      </c>
      <c r="H87" s="37">
        <v>5000000</v>
      </c>
      <c r="I87" s="17" t="s">
        <v>406</v>
      </c>
      <c r="J87" s="14"/>
    </row>
    <row r="88" spans="1:10" x14ac:dyDescent="0.3">
      <c r="A88" s="18">
        <v>38</v>
      </c>
      <c r="B88" s="18">
        <v>97</v>
      </c>
      <c r="C88" s="18">
        <v>7</v>
      </c>
      <c r="D88" s="18" t="s">
        <v>402</v>
      </c>
      <c r="E88" s="5" t="s">
        <v>45</v>
      </c>
      <c r="F88" s="5" t="s">
        <v>31</v>
      </c>
      <c r="G88" s="5" t="s">
        <v>32</v>
      </c>
      <c r="H88" s="21">
        <v>4227000</v>
      </c>
      <c r="I88" s="5" t="s">
        <v>407</v>
      </c>
      <c r="J88" s="14"/>
    </row>
    <row r="89" spans="1:10" x14ac:dyDescent="0.3">
      <c r="A89" s="16">
        <v>24</v>
      </c>
      <c r="B89" s="16">
        <v>83</v>
      </c>
      <c r="C89" s="16">
        <v>8</v>
      </c>
      <c r="D89" s="16" t="s">
        <v>401</v>
      </c>
      <c r="E89" s="17" t="s">
        <v>45</v>
      </c>
      <c r="F89" s="17" t="s">
        <v>101</v>
      </c>
      <c r="G89" s="17" t="s">
        <v>102</v>
      </c>
      <c r="H89" s="37">
        <v>3373000</v>
      </c>
      <c r="I89" s="17" t="s">
        <v>406</v>
      </c>
      <c r="J89" s="14"/>
    </row>
    <row r="90" spans="1:10" x14ac:dyDescent="0.3">
      <c r="A90" s="16">
        <v>16</v>
      </c>
      <c r="B90" s="16">
        <v>63</v>
      </c>
      <c r="C90" s="16">
        <v>9</v>
      </c>
      <c r="D90" s="16" t="s">
        <v>401</v>
      </c>
      <c r="E90" s="17" t="s">
        <v>45</v>
      </c>
      <c r="F90" s="17" t="s">
        <v>78</v>
      </c>
      <c r="G90" s="17" t="s">
        <v>79</v>
      </c>
      <c r="H90" s="37">
        <v>577950</v>
      </c>
      <c r="I90" s="17" t="s">
        <v>406</v>
      </c>
      <c r="J90" s="14"/>
    </row>
    <row r="91" spans="1:10" x14ac:dyDescent="0.3">
      <c r="A91" s="18">
        <v>23</v>
      </c>
      <c r="B91" s="18">
        <v>61</v>
      </c>
      <c r="C91" s="18">
        <v>10</v>
      </c>
      <c r="D91" s="18" t="s">
        <v>402</v>
      </c>
      <c r="E91" s="5" t="s">
        <v>45</v>
      </c>
      <c r="F91" s="5" t="s">
        <v>107</v>
      </c>
      <c r="G91" s="5" t="s">
        <v>108</v>
      </c>
      <c r="H91" s="14">
        <v>5000000</v>
      </c>
      <c r="I91" s="5" t="s">
        <v>407</v>
      </c>
      <c r="J91" s="14"/>
    </row>
    <row r="92" spans="1:10" x14ac:dyDescent="0.3">
      <c r="A92" s="18">
        <v>31</v>
      </c>
      <c r="B92" s="18">
        <v>51</v>
      </c>
      <c r="C92" s="18">
        <v>11</v>
      </c>
      <c r="D92" s="18" t="s">
        <v>402</v>
      </c>
      <c r="E92" s="5" t="s">
        <v>45</v>
      </c>
      <c r="F92" s="5" t="s">
        <v>43</v>
      </c>
      <c r="G92" s="5" t="s">
        <v>44</v>
      </c>
      <c r="H92" s="14">
        <v>3000000</v>
      </c>
      <c r="I92" s="5" t="s">
        <v>407</v>
      </c>
      <c r="J92" s="14"/>
    </row>
    <row r="93" spans="1:10" x14ac:dyDescent="0.3">
      <c r="A93" s="18">
        <v>30</v>
      </c>
      <c r="B93" s="18">
        <v>48</v>
      </c>
      <c r="C93" s="18">
        <v>12</v>
      </c>
      <c r="D93" s="18" t="s">
        <v>402</v>
      </c>
      <c r="E93" s="5" t="s">
        <v>45</v>
      </c>
      <c r="F93" s="5" t="s">
        <v>90</v>
      </c>
      <c r="G93" s="5" t="s">
        <v>91</v>
      </c>
      <c r="H93" s="14">
        <v>5000000</v>
      </c>
      <c r="I93" s="5" t="s">
        <v>407</v>
      </c>
      <c r="J93" s="14"/>
    </row>
    <row r="94" spans="1:10" x14ac:dyDescent="0.3">
      <c r="A94" s="18">
        <v>26</v>
      </c>
      <c r="B94" s="18">
        <v>42</v>
      </c>
      <c r="C94" s="18">
        <v>13</v>
      </c>
      <c r="D94" s="18" t="s">
        <v>402</v>
      </c>
      <c r="E94" s="5" t="s">
        <v>45</v>
      </c>
      <c r="F94" s="5" t="s">
        <v>115</v>
      </c>
      <c r="G94" s="5" t="s">
        <v>116</v>
      </c>
      <c r="H94" s="14">
        <v>2400000</v>
      </c>
      <c r="I94" s="5" t="s">
        <v>407</v>
      </c>
      <c r="J94" s="14"/>
    </row>
    <row r="95" spans="1:10" x14ac:dyDescent="0.3">
      <c r="A95" s="18">
        <v>17</v>
      </c>
      <c r="B95" s="18">
        <v>40</v>
      </c>
      <c r="C95" s="18">
        <v>14</v>
      </c>
      <c r="D95" s="18" t="s">
        <v>402</v>
      </c>
      <c r="E95" s="5" t="s">
        <v>45</v>
      </c>
      <c r="F95" s="5" t="s">
        <v>82</v>
      </c>
      <c r="G95" s="5" t="s">
        <v>83</v>
      </c>
      <c r="H95" s="14">
        <v>1998000</v>
      </c>
      <c r="I95" s="5" t="s">
        <v>407</v>
      </c>
      <c r="J95" s="14"/>
    </row>
    <row r="96" spans="1:10" x14ac:dyDescent="0.3">
      <c r="A96" s="18">
        <v>20</v>
      </c>
      <c r="B96" s="18">
        <v>40</v>
      </c>
      <c r="C96" s="18">
        <v>15</v>
      </c>
      <c r="D96" s="18" t="s">
        <v>402</v>
      </c>
      <c r="E96" s="5" t="s">
        <v>45</v>
      </c>
      <c r="F96" s="5" t="s">
        <v>63</v>
      </c>
      <c r="G96" s="5" t="s">
        <v>64</v>
      </c>
      <c r="H96" s="14">
        <v>5000000</v>
      </c>
      <c r="I96" s="5" t="s">
        <v>407</v>
      </c>
      <c r="J96" s="14"/>
    </row>
    <row r="97" spans="1:10" x14ac:dyDescent="0.3">
      <c r="A97" s="18">
        <v>39</v>
      </c>
      <c r="B97" s="18">
        <v>28</v>
      </c>
      <c r="C97" s="18">
        <v>16</v>
      </c>
      <c r="D97" s="18" t="s">
        <v>402</v>
      </c>
      <c r="E97" s="5" t="s">
        <v>45</v>
      </c>
      <c r="F97" s="5" t="s">
        <v>84</v>
      </c>
      <c r="G97" s="5" t="s">
        <v>85</v>
      </c>
      <c r="H97" s="14">
        <v>2950000</v>
      </c>
      <c r="I97" s="5" t="s">
        <v>407</v>
      </c>
      <c r="J97" s="14"/>
    </row>
    <row r="98" spans="1:10" x14ac:dyDescent="0.3">
      <c r="A98" s="18">
        <v>6</v>
      </c>
      <c r="B98" s="18">
        <v>23</v>
      </c>
      <c r="C98" s="18">
        <v>17</v>
      </c>
      <c r="D98" s="18" t="s">
        <v>402</v>
      </c>
      <c r="E98" s="5" t="s">
        <v>45</v>
      </c>
      <c r="F98" s="5" t="s">
        <v>113</v>
      </c>
      <c r="G98" s="5" t="s">
        <v>114</v>
      </c>
      <c r="H98" s="14">
        <v>1980000</v>
      </c>
      <c r="I98" s="5" t="s">
        <v>407</v>
      </c>
      <c r="J98" s="14"/>
    </row>
    <row r="99" spans="1:10" x14ac:dyDescent="0.3">
      <c r="A99" s="18">
        <v>15</v>
      </c>
      <c r="B99" s="18">
        <v>22</v>
      </c>
      <c r="C99" s="18">
        <v>18</v>
      </c>
      <c r="D99" s="18" t="s">
        <v>402</v>
      </c>
      <c r="E99" s="5" t="s">
        <v>45</v>
      </c>
      <c r="F99" s="5" t="s">
        <v>99</v>
      </c>
      <c r="G99" s="5" t="s">
        <v>100</v>
      </c>
      <c r="H99" s="14">
        <v>250000</v>
      </c>
      <c r="I99" s="5" t="s">
        <v>407</v>
      </c>
      <c r="J99" s="14"/>
    </row>
    <row r="100" spans="1:10" x14ac:dyDescent="0.3">
      <c r="A100" s="16">
        <v>13</v>
      </c>
      <c r="B100" s="16">
        <v>22</v>
      </c>
      <c r="C100" s="16">
        <v>19</v>
      </c>
      <c r="D100" s="16" t="s">
        <v>401</v>
      </c>
      <c r="E100" s="17" t="s">
        <v>45</v>
      </c>
      <c r="F100" s="17" t="s">
        <v>57</v>
      </c>
      <c r="G100" s="17" t="s">
        <v>58</v>
      </c>
      <c r="H100" s="37">
        <v>30000</v>
      </c>
      <c r="I100" s="17" t="s">
        <v>406</v>
      </c>
      <c r="J100" s="21"/>
    </row>
    <row r="101" spans="1:10" x14ac:dyDescent="0.3">
      <c r="A101" s="18">
        <v>35</v>
      </c>
      <c r="B101" s="18">
        <v>21</v>
      </c>
      <c r="C101" s="18">
        <v>20</v>
      </c>
      <c r="D101" s="18" t="s">
        <v>402</v>
      </c>
      <c r="E101" s="5" t="s">
        <v>45</v>
      </c>
      <c r="F101" s="5" t="s">
        <v>86</v>
      </c>
      <c r="G101" s="5" t="s">
        <v>87</v>
      </c>
      <c r="H101" s="14">
        <v>2550000</v>
      </c>
      <c r="I101" s="5" t="s">
        <v>407</v>
      </c>
      <c r="J101" s="14"/>
    </row>
    <row r="102" spans="1:10" x14ac:dyDescent="0.3">
      <c r="A102" s="18">
        <v>14</v>
      </c>
      <c r="B102" s="18">
        <v>17</v>
      </c>
      <c r="C102" s="18">
        <v>21</v>
      </c>
      <c r="D102" s="18" t="s">
        <v>402</v>
      </c>
      <c r="E102" s="5" t="s">
        <v>45</v>
      </c>
      <c r="F102" s="5" t="s">
        <v>48</v>
      </c>
      <c r="G102" s="5" t="s">
        <v>49</v>
      </c>
      <c r="H102" s="14">
        <v>5000000</v>
      </c>
      <c r="I102" s="5" t="s">
        <v>407</v>
      </c>
      <c r="J102" s="14"/>
    </row>
    <row r="103" spans="1:10" x14ac:dyDescent="0.3">
      <c r="A103" s="18">
        <v>28</v>
      </c>
      <c r="B103" s="18">
        <v>16</v>
      </c>
      <c r="C103" s="18">
        <v>22</v>
      </c>
      <c r="D103" s="18" t="s">
        <v>402</v>
      </c>
      <c r="E103" s="5" t="s">
        <v>45</v>
      </c>
      <c r="F103" s="5" t="s">
        <v>80</v>
      </c>
      <c r="G103" s="5" t="s">
        <v>81</v>
      </c>
      <c r="H103" s="14">
        <v>1450000</v>
      </c>
      <c r="I103" s="5" t="s">
        <v>407</v>
      </c>
      <c r="J103" s="14"/>
    </row>
    <row r="104" spans="1:10" x14ac:dyDescent="0.3">
      <c r="A104" s="18">
        <v>33</v>
      </c>
      <c r="B104" s="18">
        <v>15</v>
      </c>
      <c r="C104" s="18">
        <v>23</v>
      </c>
      <c r="D104" s="18" t="s">
        <v>402</v>
      </c>
      <c r="E104" s="5" t="s">
        <v>45</v>
      </c>
      <c r="F104" s="5" t="s">
        <v>46</v>
      </c>
      <c r="G104" s="5" t="s">
        <v>47</v>
      </c>
      <c r="H104" s="14">
        <v>5000000</v>
      </c>
      <c r="I104" s="5" t="s">
        <v>407</v>
      </c>
      <c r="J104" s="14"/>
    </row>
    <row r="105" spans="1:10" x14ac:dyDescent="0.3">
      <c r="A105" s="18">
        <v>25</v>
      </c>
      <c r="B105" s="18">
        <v>15</v>
      </c>
      <c r="C105" s="18">
        <v>24</v>
      </c>
      <c r="D105" s="18" t="s">
        <v>402</v>
      </c>
      <c r="E105" s="5" t="s">
        <v>45</v>
      </c>
      <c r="F105" s="5" t="s">
        <v>111</v>
      </c>
      <c r="G105" s="5" t="s">
        <v>112</v>
      </c>
      <c r="H105" s="14">
        <v>1251000</v>
      </c>
      <c r="I105" s="5" t="s">
        <v>407</v>
      </c>
      <c r="J105" s="14"/>
    </row>
    <row r="106" spans="1:10" x14ac:dyDescent="0.3">
      <c r="A106" s="18">
        <v>3</v>
      </c>
      <c r="B106" s="18">
        <v>12</v>
      </c>
      <c r="C106" s="18">
        <v>25</v>
      </c>
      <c r="D106" s="18" t="s">
        <v>402</v>
      </c>
      <c r="E106" s="5" t="s">
        <v>45</v>
      </c>
      <c r="F106" s="5" t="s">
        <v>59</v>
      </c>
      <c r="G106" s="5" t="s">
        <v>60</v>
      </c>
      <c r="H106" s="21">
        <v>465300</v>
      </c>
      <c r="I106" s="5" t="s">
        <v>407</v>
      </c>
      <c r="J106" s="23"/>
    </row>
    <row r="107" spans="1:10" x14ac:dyDescent="0.3">
      <c r="A107" s="18">
        <v>40</v>
      </c>
      <c r="B107" s="18">
        <v>11</v>
      </c>
      <c r="C107" s="18">
        <v>26</v>
      </c>
      <c r="D107" s="18" t="s">
        <v>402</v>
      </c>
      <c r="E107" s="5" t="s">
        <v>45</v>
      </c>
      <c r="F107" s="5" t="s">
        <v>88</v>
      </c>
      <c r="G107" s="5" t="s">
        <v>89</v>
      </c>
      <c r="H107" s="14">
        <v>450000</v>
      </c>
      <c r="I107" s="5" t="s">
        <v>407</v>
      </c>
      <c r="J107" s="14"/>
    </row>
    <row r="108" spans="1:10" x14ac:dyDescent="0.3">
      <c r="A108" s="16">
        <v>7</v>
      </c>
      <c r="B108" s="22">
        <v>11</v>
      </c>
      <c r="C108" s="16">
        <v>27</v>
      </c>
      <c r="D108" s="16" t="s">
        <v>401</v>
      </c>
      <c r="E108" s="17" t="s">
        <v>45</v>
      </c>
      <c r="F108" s="17" t="s">
        <v>23</v>
      </c>
      <c r="G108" s="17" t="s">
        <v>54</v>
      </c>
      <c r="H108" s="37">
        <v>120000</v>
      </c>
      <c r="I108" s="17" t="s">
        <v>406</v>
      </c>
      <c r="J108" s="19">
        <f>SUM(H82:H87,H89,H90,H100,H108)</f>
        <v>26200950</v>
      </c>
    </row>
    <row r="109" spans="1:10" x14ac:dyDescent="0.3">
      <c r="A109" s="18">
        <v>34</v>
      </c>
      <c r="B109" s="20">
        <v>10</v>
      </c>
      <c r="C109" s="18">
        <v>28</v>
      </c>
      <c r="D109" s="18" t="s">
        <v>402</v>
      </c>
      <c r="E109" s="5" t="s">
        <v>45</v>
      </c>
      <c r="F109" s="5" t="s">
        <v>97</v>
      </c>
      <c r="G109" s="5" t="s">
        <v>98</v>
      </c>
      <c r="H109" s="14">
        <v>1800000</v>
      </c>
      <c r="I109" s="5" t="s">
        <v>407</v>
      </c>
      <c r="J109" s="14"/>
    </row>
    <row r="110" spans="1:10" x14ac:dyDescent="0.3">
      <c r="A110" s="18">
        <v>10</v>
      </c>
      <c r="B110" s="20">
        <v>9</v>
      </c>
      <c r="C110" s="18">
        <v>29</v>
      </c>
      <c r="D110" s="18" t="s">
        <v>402</v>
      </c>
      <c r="E110" s="5" t="s">
        <v>45</v>
      </c>
      <c r="F110" s="5" t="s">
        <v>37</v>
      </c>
      <c r="G110" s="5" t="s">
        <v>96</v>
      </c>
      <c r="H110" s="14">
        <v>885000</v>
      </c>
      <c r="I110" s="5" t="s">
        <v>407</v>
      </c>
      <c r="J110" s="14"/>
    </row>
    <row r="111" spans="1:10" x14ac:dyDescent="0.3">
      <c r="A111" s="18">
        <v>8</v>
      </c>
      <c r="B111" s="20">
        <v>9</v>
      </c>
      <c r="C111" s="18">
        <v>30</v>
      </c>
      <c r="D111" s="18" t="s">
        <v>402</v>
      </c>
      <c r="E111" s="5" t="s">
        <v>45</v>
      </c>
      <c r="F111" s="5" t="s">
        <v>50</v>
      </c>
      <c r="G111" s="5" t="s">
        <v>51</v>
      </c>
      <c r="H111" s="14">
        <v>2085000</v>
      </c>
      <c r="I111" s="5" t="s">
        <v>407</v>
      </c>
      <c r="J111" s="14"/>
    </row>
    <row r="112" spans="1:10" x14ac:dyDescent="0.3">
      <c r="A112" s="18">
        <v>11</v>
      </c>
      <c r="B112" s="20">
        <v>8</v>
      </c>
      <c r="C112" s="18">
        <v>31</v>
      </c>
      <c r="D112" s="18" t="s">
        <v>402</v>
      </c>
      <c r="E112" s="5" t="s">
        <v>45</v>
      </c>
      <c r="F112" s="5" t="s">
        <v>55</v>
      </c>
      <c r="G112" s="5" t="s">
        <v>56</v>
      </c>
      <c r="H112" s="14">
        <v>1800000</v>
      </c>
      <c r="I112" s="5" t="s">
        <v>407</v>
      </c>
      <c r="J112" s="14"/>
    </row>
    <row r="113" spans="1:10" x14ac:dyDescent="0.3">
      <c r="A113" s="18">
        <v>12</v>
      </c>
      <c r="B113" s="20">
        <v>8</v>
      </c>
      <c r="C113" s="18">
        <v>32</v>
      </c>
      <c r="D113" s="18" t="s">
        <v>402</v>
      </c>
      <c r="E113" s="5" t="s">
        <v>45</v>
      </c>
      <c r="F113" s="5" t="s">
        <v>76</v>
      </c>
      <c r="G113" s="5" t="s">
        <v>77</v>
      </c>
      <c r="H113" s="14">
        <v>400000</v>
      </c>
      <c r="I113" s="5" t="s">
        <v>407</v>
      </c>
      <c r="J113" s="14"/>
    </row>
    <row r="114" spans="1:10" x14ac:dyDescent="0.3">
      <c r="A114" s="18">
        <v>9</v>
      </c>
      <c r="B114" s="20">
        <v>7</v>
      </c>
      <c r="C114" s="18">
        <v>33</v>
      </c>
      <c r="D114" s="18" t="s">
        <v>402</v>
      </c>
      <c r="E114" s="5" t="s">
        <v>45</v>
      </c>
      <c r="F114" s="5" t="s">
        <v>109</v>
      </c>
      <c r="G114" s="5" t="s">
        <v>110</v>
      </c>
      <c r="H114" s="14">
        <v>1650000</v>
      </c>
      <c r="I114" s="5" t="s">
        <v>407</v>
      </c>
      <c r="J114" s="14"/>
    </row>
    <row r="115" spans="1:10" x14ac:dyDescent="0.3">
      <c r="A115" s="18">
        <v>5</v>
      </c>
      <c r="B115" s="20">
        <v>7</v>
      </c>
      <c r="C115" s="18">
        <v>34</v>
      </c>
      <c r="D115" s="18" t="s">
        <v>402</v>
      </c>
      <c r="E115" s="5" t="s">
        <v>45</v>
      </c>
      <c r="F115" s="5" t="s">
        <v>61</v>
      </c>
      <c r="G115" s="5" t="s">
        <v>62</v>
      </c>
      <c r="H115" s="14">
        <v>304200</v>
      </c>
      <c r="I115" s="5" t="s">
        <v>407</v>
      </c>
      <c r="J115" s="14"/>
    </row>
    <row r="116" spans="1:10" x14ac:dyDescent="0.3">
      <c r="A116" s="18">
        <v>22</v>
      </c>
      <c r="B116" s="20">
        <v>7</v>
      </c>
      <c r="C116" s="18">
        <v>35</v>
      </c>
      <c r="D116" s="18" t="s">
        <v>402</v>
      </c>
      <c r="E116" s="5" t="s">
        <v>45</v>
      </c>
      <c r="F116" s="5" t="s">
        <v>2</v>
      </c>
      <c r="G116" s="5" t="s">
        <v>69</v>
      </c>
      <c r="H116" s="14">
        <v>675000</v>
      </c>
      <c r="I116" s="5" t="s">
        <v>407</v>
      </c>
      <c r="J116" s="14"/>
    </row>
    <row r="117" spans="1:10" x14ac:dyDescent="0.3">
      <c r="A117" s="18">
        <v>36</v>
      </c>
      <c r="B117" s="20">
        <v>7</v>
      </c>
      <c r="C117" s="18">
        <v>36</v>
      </c>
      <c r="D117" s="18" t="s">
        <v>402</v>
      </c>
      <c r="E117" s="5" t="s">
        <v>45</v>
      </c>
      <c r="F117" s="5" t="s">
        <v>72</v>
      </c>
      <c r="G117" s="5" t="s">
        <v>73</v>
      </c>
      <c r="H117" s="14">
        <v>90000</v>
      </c>
      <c r="I117" s="5" t="s">
        <v>407</v>
      </c>
      <c r="J117" s="14"/>
    </row>
    <row r="118" spans="1:10" x14ac:dyDescent="0.3">
      <c r="A118" s="18">
        <v>19</v>
      </c>
      <c r="B118" s="20">
        <v>6</v>
      </c>
      <c r="C118" s="18">
        <v>37</v>
      </c>
      <c r="D118" s="18" t="s">
        <v>402</v>
      </c>
      <c r="E118" s="5" t="s">
        <v>45</v>
      </c>
      <c r="F118" s="5" t="s">
        <v>27</v>
      </c>
      <c r="G118" s="5" t="s">
        <v>28</v>
      </c>
      <c r="H118" s="14">
        <v>420000</v>
      </c>
      <c r="I118" s="5" t="s">
        <v>407</v>
      </c>
      <c r="J118" s="14"/>
    </row>
    <row r="119" spans="1:10" x14ac:dyDescent="0.3">
      <c r="A119" s="18">
        <v>18</v>
      </c>
      <c r="B119" s="20">
        <v>6</v>
      </c>
      <c r="C119" s="18">
        <v>38</v>
      </c>
      <c r="D119" s="18" t="s">
        <v>402</v>
      </c>
      <c r="E119" s="5" t="s">
        <v>45</v>
      </c>
      <c r="F119" s="5" t="s">
        <v>65</v>
      </c>
      <c r="G119" s="5" t="s">
        <v>66</v>
      </c>
      <c r="H119" s="14">
        <v>1575150</v>
      </c>
      <c r="I119" s="5" t="s">
        <v>407</v>
      </c>
      <c r="J119" s="14"/>
    </row>
    <row r="120" spans="1:10" x14ac:dyDescent="0.3">
      <c r="A120" s="18">
        <v>21</v>
      </c>
      <c r="B120" s="20">
        <v>5</v>
      </c>
      <c r="C120" s="18">
        <v>39</v>
      </c>
      <c r="D120" s="18" t="s">
        <v>402</v>
      </c>
      <c r="E120" s="5" t="s">
        <v>45</v>
      </c>
      <c r="F120" s="5" t="s">
        <v>70</v>
      </c>
      <c r="G120" s="5" t="s">
        <v>71</v>
      </c>
      <c r="H120" s="14">
        <v>4500000</v>
      </c>
      <c r="I120" s="5" t="s">
        <v>407</v>
      </c>
      <c r="J120" s="14"/>
    </row>
    <row r="121" spans="1:10" ht="15" thickBot="1" x14ac:dyDescent="0.35">
      <c r="A121" s="27">
        <v>32</v>
      </c>
      <c r="B121" s="30">
        <v>1</v>
      </c>
      <c r="C121" s="27">
        <v>40</v>
      </c>
      <c r="D121" s="27" t="s">
        <v>402</v>
      </c>
      <c r="E121" s="28" t="s">
        <v>45</v>
      </c>
      <c r="F121" s="28" t="s">
        <v>92</v>
      </c>
      <c r="G121" s="28" t="s">
        <v>93</v>
      </c>
      <c r="H121" s="29">
        <v>790000</v>
      </c>
      <c r="I121" s="28" t="s">
        <v>407</v>
      </c>
      <c r="J121" s="29"/>
    </row>
    <row r="122" spans="1:10" x14ac:dyDescent="0.3">
      <c r="A122" s="24">
        <v>27</v>
      </c>
      <c r="B122" s="24">
        <v>346</v>
      </c>
      <c r="C122" s="24">
        <v>1</v>
      </c>
      <c r="D122" s="24" t="s">
        <v>401</v>
      </c>
      <c r="E122" s="25" t="s">
        <v>262</v>
      </c>
      <c r="F122" s="25" t="s">
        <v>301</v>
      </c>
      <c r="G122" s="25" t="s">
        <v>302</v>
      </c>
      <c r="H122" s="38">
        <v>5000000</v>
      </c>
      <c r="I122" s="25" t="s">
        <v>406</v>
      </c>
      <c r="J122" s="26"/>
    </row>
    <row r="123" spans="1:10" x14ac:dyDescent="0.3">
      <c r="A123" s="16">
        <v>20</v>
      </c>
      <c r="B123" s="16">
        <v>307</v>
      </c>
      <c r="C123" s="16">
        <v>2</v>
      </c>
      <c r="D123" s="16" t="s">
        <v>401</v>
      </c>
      <c r="E123" s="17" t="s">
        <v>262</v>
      </c>
      <c r="F123" s="17" t="s">
        <v>305</v>
      </c>
      <c r="G123" s="17" t="s">
        <v>306</v>
      </c>
      <c r="H123" s="37">
        <v>5000000</v>
      </c>
      <c r="I123" s="17" t="s">
        <v>406</v>
      </c>
      <c r="J123" s="14"/>
    </row>
    <row r="124" spans="1:10" x14ac:dyDescent="0.3">
      <c r="A124" s="16">
        <v>43</v>
      </c>
      <c r="B124" s="16">
        <v>231</v>
      </c>
      <c r="C124" s="16">
        <v>3</v>
      </c>
      <c r="D124" s="16" t="s">
        <v>401</v>
      </c>
      <c r="E124" s="17" t="s">
        <v>262</v>
      </c>
      <c r="F124" s="17" t="s">
        <v>288</v>
      </c>
      <c r="G124" s="17" t="s">
        <v>289</v>
      </c>
      <c r="H124" s="37">
        <v>5000000</v>
      </c>
      <c r="I124" s="17" t="s">
        <v>406</v>
      </c>
      <c r="J124" s="14"/>
    </row>
    <row r="125" spans="1:10" x14ac:dyDescent="0.3">
      <c r="A125" s="16">
        <v>28</v>
      </c>
      <c r="B125" s="16">
        <v>225</v>
      </c>
      <c r="C125" s="16">
        <v>4</v>
      </c>
      <c r="D125" s="16" t="s">
        <v>401</v>
      </c>
      <c r="E125" s="17" t="s">
        <v>262</v>
      </c>
      <c r="F125" s="17" t="s">
        <v>325</v>
      </c>
      <c r="G125" s="17" t="s">
        <v>326</v>
      </c>
      <c r="H125" s="37">
        <v>4000000</v>
      </c>
      <c r="I125" s="17" t="s">
        <v>406</v>
      </c>
      <c r="J125" s="14"/>
    </row>
    <row r="126" spans="1:10" x14ac:dyDescent="0.3">
      <c r="A126" s="16">
        <v>12</v>
      </c>
      <c r="B126" s="16">
        <v>214</v>
      </c>
      <c r="C126" s="16">
        <v>5</v>
      </c>
      <c r="D126" s="16" t="s">
        <v>401</v>
      </c>
      <c r="E126" s="17" t="s">
        <v>262</v>
      </c>
      <c r="F126" s="17" t="s">
        <v>321</v>
      </c>
      <c r="G126" s="17" t="s">
        <v>322</v>
      </c>
      <c r="H126" s="37">
        <v>3600000</v>
      </c>
      <c r="I126" s="17" t="s">
        <v>406</v>
      </c>
      <c r="J126" s="14"/>
    </row>
    <row r="127" spans="1:10" x14ac:dyDescent="0.3">
      <c r="A127" s="18">
        <v>42</v>
      </c>
      <c r="B127" s="18">
        <v>203</v>
      </c>
      <c r="C127" s="18">
        <v>6</v>
      </c>
      <c r="D127" s="18" t="s">
        <v>402</v>
      </c>
      <c r="E127" s="5" t="s">
        <v>262</v>
      </c>
      <c r="F127" s="5" t="s">
        <v>31</v>
      </c>
      <c r="G127" s="5" t="s">
        <v>32</v>
      </c>
      <c r="H127" s="14">
        <v>5000000</v>
      </c>
      <c r="I127" s="5" t="s">
        <v>407</v>
      </c>
      <c r="J127" s="14"/>
    </row>
    <row r="128" spans="1:10" x14ac:dyDescent="0.3">
      <c r="A128" s="18">
        <v>7</v>
      </c>
      <c r="B128" s="18">
        <v>179</v>
      </c>
      <c r="C128" s="18">
        <v>7</v>
      </c>
      <c r="D128" s="18" t="s">
        <v>402</v>
      </c>
      <c r="E128" s="5" t="s">
        <v>262</v>
      </c>
      <c r="F128" s="5" t="s">
        <v>317</v>
      </c>
      <c r="G128" s="5" t="s">
        <v>318</v>
      </c>
      <c r="H128" s="14">
        <v>5000000</v>
      </c>
      <c r="I128" s="5" t="s">
        <v>407</v>
      </c>
      <c r="J128" s="21"/>
    </row>
    <row r="129" spans="1:10" x14ac:dyDescent="0.3">
      <c r="A129" s="16">
        <v>22</v>
      </c>
      <c r="B129" s="16">
        <v>171</v>
      </c>
      <c r="C129" s="16">
        <v>8</v>
      </c>
      <c r="D129" s="16" t="s">
        <v>401</v>
      </c>
      <c r="E129" s="17" t="s">
        <v>262</v>
      </c>
      <c r="F129" s="17" t="s">
        <v>319</v>
      </c>
      <c r="G129" s="17" t="s">
        <v>320</v>
      </c>
      <c r="H129" s="37">
        <v>2250000</v>
      </c>
      <c r="I129" s="17" t="s">
        <v>406</v>
      </c>
      <c r="J129" s="21"/>
    </row>
    <row r="130" spans="1:10" x14ac:dyDescent="0.3">
      <c r="A130" s="18">
        <v>11</v>
      </c>
      <c r="B130" s="18">
        <v>158</v>
      </c>
      <c r="C130" s="18">
        <v>9</v>
      </c>
      <c r="D130" s="18" t="s">
        <v>402</v>
      </c>
      <c r="E130" s="5" t="s">
        <v>262</v>
      </c>
      <c r="F130" s="5" t="s">
        <v>272</v>
      </c>
      <c r="G130" s="5" t="s">
        <v>273</v>
      </c>
      <c r="H130" s="21">
        <v>3100000</v>
      </c>
      <c r="I130" s="5" t="s">
        <v>407</v>
      </c>
      <c r="J130" s="21"/>
    </row>
    <row r="131" spans="1:10" x14ac:dyDescent="0.3">
      <c r="A131" s="18">
        <v>32</v>
      </c>
      <c r="B131" s="18">
        <v>134</v>
      </c>
      <c r="C131" s="18">
        <v>10</v>
      </c>
      <c r="D131" s="18" t="s">
        <v>402</v>
      </c>
      <c r="E131" s="5" t="s">
        <v>262</v>
      </c>
      <c r="F131" s="5" t="s">
        <v>260</v>
      </c>
      <c r="G131" s="5" t="s">
        <v>261</v>
      </c>
      <c r="H131" s="14">
        <v>3000000</v>
      </c>
      <c r="I131" s="5" t="s">
        <v>407</v>
      </c>
      <c r="J131" s="21"/>
    </row>
    <row r="132" spans="1:10" x14ac:dyDescent="0.3">
      <c r="A132" s="18">
        <v>25</v>
      </c>
      <c r="B132" s="18">
        <v>133</v>
      </c>
      <c r="C132" s="18">
        <v>11</v>
      </c>
      <c r="D132" s="18" t="s">
        <v>402</v>
      </c>
      <c r="E132" s="5" t="s">
        <v>262</v>
      </c>
      <c r="F132" s="5" t="s">
        <v>268</v>
      </c>
      <c r="G132" s="5" t="s">
        <v>269</v>
      </c>
      <c r="H132" s="14">
        <v>5000000</v>
      </c>
      <c r="I132" s="5" t="s">
        <v>407</v>
      </c>
      <c r="J132" s="14"/>
    </row>
    <row r="133" spans="1:10" x14ac:dyDescent="0.3">
      <c r="A133" s="18">
        <v>15</v>
      </c>
      <c r="B133" s="18">
        <v>108</v>
      </c>
      <c r="C133" s="18">
        <v>12</v>
      </c>
      <c r="D133" s="18" t="s">
        <v>402</v>
      </c>
      <c r="E133" s="5" t="s">
        <v>262</v>
      </c>
      <c r="F133" s="5" t="s">
        <v>313</v>
      </c>
      <c r="G133" s="5" t="s">
        <v>314</v>
      </c>
      <c r="H133" s="14">
        <v>3925000</v>
      </c>
      <c r="I133" s="5" t="s">
        <v>407</v>
      </c>
      <c r="J133" s="14"/>
    </row>
    <row r="134" spans="1:10" x14ac:dyDescent="0.3">
      <c r="A134" s="16">
        <v>18</v>
      </c>
      <c r="B134" s="16">
        <v>102</v>
      </c>
      <c r="C134" s="16">
        <v>13</v>
      </c>
      <c r="D134" s="16" t="s">
        <v>401</v>
      </c>
      <c r="E134" s="17" t="s">
        <v>262</v>
      </c>
      <c r="F134" s="17" t="s">
        <v>307</v>
      </c>
      <c r="G134" s="17" t="s">
        <v>308</v>
      </c>
      <c r="H134" s="37">
        <v>668550</v>
      </c>
      <c r="I134" s="17" t="s">
        <v>406</v>
      </c>
      <c r="J134" s="14"/>
    </row>
    <row r="135" spans="1:10" x14ac:dyDescent="0.3">
      <c r="A135" s="18">
        <v>10</v>
      </c>
      <c r="B135" s="18">
        <v>97</v>
      </c>
      <c r="C135" s="18">
        <v>14</v>
      </c>
      <c r="D135" s="18" t="s">
        <v>402</v>
      </c>
      <c r="E135" s="5" t="s">
        <v>262</v>
      </c>
      <c r="F135" s="5" t="s">
        <v>332</v>
      </c>
      <c r="G135" s="5" t="s">
        <v>333</v>
      </c>
      <c r="H135" s="14">
        <v>1900000</v>
      </c>
      <c r="I135" s="5" t="s">
        <v>407</v>
      </c>
      <c r="J135" s="14"/>
    </row>
    <row r="136" spans="1:10" x14ac:dyDescent="0.3">
      <c r="A136" s="18">
        <v>16</v>
      </c>
      <c r="B136" s="18">
        <v>91</v>
      </c>
      <c r="C136" s="18">
        <v>15</v>
      </c>
      <c r="D136" s="18" t="s">
        <v>402</v>
      </c>
      <c r="E136" s="5" t="s">
        <v>262</v>
      </c>
      <c r="F136" s="5" t="s">
        <v>2</v>
      </c>
      <c r="G136" s="5" t="s">
        <v>3</v>
      </c>
      <c r="H136" s="21">
        <v>1350000</v>
      </c>
      <c r="I136" s="5" t="s">
        <v>407</v>
      </c>
      <c r="J136" s="14"/>
    </row>
    <row r="137" spans="1:10" x14ac:dyDescent="0.3">
      <c r="A137" s="18">
        <v>8</v>
      </c>
      <c r="B137" s="18">
        <v>87</v>
      </c>
      <c r="C137" s="18">
        <v>16</v>
      </c>
      <c r="D137" s="18" t="s">
        <v>402</v>
      </c>
      <c r="E137" s="5" t="s">
        <v>262</v>
      </c>
      <c r="F137" s="5" t="s">
        <v>286</v>
      </c>
      <c r="G137" s="5" t="s">
        <v>287</v>
      </c>
      <c r="H137" s="14">
        <v>1400000</v>
      </c>
      <c r="I137" s="5" t="s">
        <v>407</v>
      </c>
      <c r="J137" s="14"/>
    </row>
    <row r="138" spans="1:10" x14ac:dyDescent="0.3">
      <c r="A138" s="16">
        <v>24</v>
      </c>
      <c r="B138" s="16">
        <v>82</v>
      </c>
      <c r="C138" s="16">
        <v>17</v>
      </c>
      <c r="D138" s="16" t="s">
        <v>401</v>
      </c>
      <c r="E138" s="17" t="s">
        <v>262</v>
      </c>
      <c r="F138" s="17" t="s">
        <v>315</v>
      </c>
      <c r="G138" s="17" t="s">
        <v>316</v>
      </c>
      <c r="H138" s="37">
        <v>145000</v>
      </c>
      <c r="I138" s="17" t="s">
        <v>406</v>
      </c>
      <c r="J138" s="14"/>
    </row>
    <row r="139" spans="1:10" x14ac:dyDescent="0.3">
      <c r="A139" s="16">
        <v>41</v>
      </c>
      <c r="B139" s="16">
        <v>78</v>
      </c>
      <c r="C139" s="16">
        <v>18</v>
      </c>
      <c r="D139" s="16" t="s">
        <v>401</v>
      </c>
      <c r="E139" s="17" t="s">
        <v>262</v>
      </c>
      <c r="F139" s="17" t="s">
        <v>297</v>
      </c>
      <c r="G139" s="17" t="s">
        <v>298</v>
      </c>
      <c r="H139" s="37">
        <v>435000</v>
      </c>
      <c r="I139" s="17" t="s">
        <v>406</v>
      </c>
      <c r="J139" s="19">
        <f>SUM(H122:H126,H129,H134,H138:H139)</f>
        <v>26098550</v>
      </c>
    </row>
    <row r="140" spans="1:10" x14ac:dyDescent="0.3">
      <c r="A140" s="18">
        <v>13</v>
      </c>
      <c r="B140" s="18">
        <v>74</v>
      </c>
      <c r="C140" s="18">
        <v>19</v>
      </c>
      <c r="D140" s="18" t="s">
        <v>402</v>
      </c>
      <c r="E140" s="5" t="s">
        <v>262</v>
      </c>
      <c r="F140" s="5" t="s">
        <v>270</v>
      </c>
      <c r="G140" s="5" t="s">
        <v>271</v>
      </c>
      <c r="H140" s="21">
        <v>897000</v>
      </c>
      <c r="I140" s="5" t="s">
        <v>407</v>
      </c>
      <c r="J140" s="14"/>
    </row>
    <row r="141" spans="1:10" x14ac:dyDescent="0.3">
      <c r="A141" s="18">
        <v>39</v>
      </c>
      <c r="B141" s="18">
        <v>72</v>
      </c>
      <c r="C141" s="18">
        <v>20</v>
      </c>
      <c r="D141" s="18" t="s">
        <v>402</v>
      </c>
      <c r="E141" s="5" t="s">
        <v>262</v>
      </c>
      <c r="F141" s="5" t="s">
        <v>278</v>
      </c>
      <c r="G141" s="5" t="s">
        <v>279</v>
      </c>
      <c r="H141" s="14">
        <v>900000</v>
      </c>
      <c r="I141" s="5" t="s">
        <v>407</v>
      </c>
      <c r="J141" s="14"/>
    </row>
    <row r="142" spans="1:10" x14ac:dyDescent="0.3">
      <c r="A142" s="18">
        <v>21</v>
      </c>
      <c r="B142" s="18">
        <v>66</v>
      </c>
      <c r="C142" s="18">
        <v>21</v>
      </c>
      <c r="D142" s="18" t="s">
        <v>402</v>
      </c>
      <c r="E142" s="5" t="s">
        <v>262</v>
      </c>
      <c r="F142" s="5" t="s">
        <v>265</v>
      </c>
      <c r="G142" s="5" t="s">
        <v>266</v>
      </c>
      <c r="H142" s="14">
        <v>1587000</v>
      </c>
      <c r="I142" s="5" t="s">
        <v>407</v>
      </c>
      <c r="J142" s="14"/>
    </row>
    <row r="143" spans="1:10" x14ac:dyDescent="0.3">
      <c r="A143" s="18">
        <v>23</v>
      </c>
      <c r="B143" s="18">
        <v>60</v>
      </c>
      <c r="C143" s="18">
        <v>22</v>
      </c>
      <c r="D143" s="18" t="s">
        <v>402</v>
      </c>
      <c r="E143" s="5" t="s">
        <v>262</v>
      </c>
      <c r="F143" s="5" t="s">
        <v>274</v>
      </c>
      <c r="G143" s="5" t="s">
        <v>275</v>
      </c>
      <c r="H143" s="14">
        <v>1590000</v>
      </c>
      <c r="I143" s="5" t="s">
        <v>407</v>
      </c>
      <c r="J143" s="14"/>
    </row>
    <row r="144" spans="1:10" x14ac:dyDescent="0.3">
      <c r="A144" s="18">
        <v>30</v>
      </c>
      <c r="B144" s="18">
        <v>59</v>
      </c>
      <c r="C144" s="18">
        <v>23</v>
      </c>
      <c r="D144" s="18" t="s">
        <v>402</v>
      </c>
      <c r="E144" s="5" t="s">
        <v>262</v>
      </c>
      <c r="F144" s="5" t="s">
        <v>309</v>
      </c>
      <c r="G144" s="5" t="s">
        <v>310</v>
      </c>
      <c r="H144" s="14">
        <v>4614000</v>
      </c>
      <c r="I144" s="5" t="s">
        <v>407</v>
      </c>
      <c r="J144" s="14"/>
    </row>
    <row r="145" spans="1:10" x14ac:dyDescent="0.3">
      <c r="A145" s="18">
        <v>35</v>
      </c>
      <c r="B145" s="18">
        <v>56</v>
      </c>
      <c r="C145" s="18">
        <v>24</v>
      </c>
      <c r="D145" s="18" t="s">
        <v>402</v>
      </c>
      <c r="E145" s="5" t="s">
        <v>262</v>
      </c>
      <c r="F145" s="5" t="s">
        <v>124</v>
      </c>
      <c r="G145" s="5" t="s">
        <v>207</v>
      </c>
      <c r="H145" s="21">
        <v>343200</v>
      </c>
      <c r="I145" s="5" t="s">
        <v>407</v>
      </c>
      <c r="J145" s="14"/>
    </row>
    <row r="146" spans="1:10" x14ac:dyDescent="0.3">
      <c r="A146" s="18">
        <v>19</v>
      </c>
      <c r="B146" s="18">
        <v>50</v>
      </c>
      <c r="C146" s="18">
        <v>25</v>
      </c>
      <c r="D146" s="18" t="s">
        <v>402</v>
      </c>
      <c r="E146" s="5" t="s">
        <v>262</v>
      </c>
      <c r="F146" s="5" t="s">
        <v>299</v>
      </c>
      <c r="G146" s="5" t="s">
        <v>300</v>
      </c>
      <c r="H146" s="14">
        <v>690000</v>
      </c>
      <c r="I146" s="5" t="s">
        <v>407</v>
      </c>
      <c r="J146" s="14"/>
    </row>
    <row r="147" spans="1:10" x14ac:dyDescent="0.3">
      <c r="A147" s="18">
        <v>37</v>
      </c>
      <c r="B147" s="20">
        <v>49</v>
      </c>
      <c r="C147" s="18">
        <v>26</v>
      </c>
      <c r="D147" s="18" t="s">
        <v>402</v>
      </c>
      <c r="E147" s="5" t="s">
        <v>262</v>
      </c>
      <c r="F147" s="5" t="s">
        <v>11</v>
      </c>
      <c r="G147" s="5" t="s">
        <v>12</v>
      </c>
      <c r="H147" s="14">
        <v>1350000</v>
      </c>
      <c r="I147" s="5" t="s">
        <v>407</v>
      </c>
      <c r="J147" s="14"/>
    </row>
    <row r="148" spans="1:10" x14ac:dyDescent="0.3">
      <c r="A148" s="18">
        <v>17</v>
      </c>
      <c r="B148" s="20">
        <v>48</v>
      </c>
      <c r="C148" s="18">
        <v>27</v>
      </c>
      <c r="D148" s="18" t="s">
        <v>402</v>
      </c>
      <c r="E148" s="5" t="s">
        <v>262</v>
      </c>
      <c r="F148" s="5" t="s">
        <v>311</v>
      </c>
      <c r="G148" s="5" t="s">
        <v>312</v>
      </c>
      <c r="H148" s="14">
        <v>1147000</v>
      </c>
      <c r="I148" s="5" t="s">
        <v>407</v>
      </c>
      <c r="J148" s="14"/>
    </row>
    <row r="149" spans="1:10" x14ac:dyDescent="0.3">
      <c r="A149" s="18">
        <v>34</v>
      </c>
      <c r="B149" s="20">
        <v>46</v>
      </c>
      <c r="C149" s="18">
        <v>28</v>
      </c>
      <c r="D149" s="18" t="s">
        <v>402</v>
      </c>
      <c r="E149" s="5" t="s">
        <v>262</v>
      </c>
      <c r="F149" s="5" t="s">
        <v>137</v>
      </c>
      <c r="G149" s="5" t="s">
        <v>263</v>
      </c>
      <c r="H149" s="14">
        <v>5000000</v>
      </c>
      <c r="I149" s="5" t="s">
        <v>407</v>
      </c>
      <c r="J149" s="14"/>
    </row>
    <row r="150" spans="1:10" x14ac:dyDescent="0.3">
      <c r="A150" s="18">
        <v>1</v>
      </c>
      <c r="B150" s="20">
        <v>44</v>
      </c>
      <c r="C150" s="18">
        <v>29</v>
      </c>
      <c r="D150" s="18" t="s">
        <v>402</v>
      </c>
      <c r="E150" s="5" t="s">
        <v>262</v>
      </c>
      <c r="F150" s="5" t="s">
        <v>23</v>
      </c>
      <c r="G150" s="5" t="s">
        <v>331</v>
      </c>
      <c r="H150" s="21">
        <v>120000</v>
      </c>
      <c r="I150" s="5" t="s">
        <v>407</v>
      </c>
      <c r="J150" s="14"/>
    </row>
    <row r="151" spans="1:10" x14ac:dyDescent="0.3">
      <c r="A151" s="18">
        <v>6</v>
      </c>
      <c r="B151" s="20">
        <v>41</v>
      </c>
      <c r="C151" s="18">
        <v>30</v>
      </c>
      <c r="D151" s="18" t="s">
        <v>402</v>
      </c>
      <c r="E151" s="5" t="s">
        <v>262</v>
      </c>
      <c r="F151" s="5" t="s">
        <v>284</v>
      </c>
      <c r="G151" s="5" t="s">
        <v>285</v>
      </c>
      <c r="H151" s="14">
        <v>1192000</v>
      </c>
      <c r="I151" s="5" t="s">
        <v>407</v>
      </c>
      <c r="J151" s="14"/>
    </row>
    <row r="152" spans="1:10" x14ac:dyDescent="0.3">
      <c r="A152" s="18">
        <v>26</v>
      </c>
      <c r="B152" s="20">
        <v>34</v>
      </c>
      <c r="C152" s="18">
        <v>31</v>
      </c>
      <c r="D152" s="18" t="s">
        <v>402</v>
      </c>
      <c r="E152" s="5" t="s">
        <v>262</v>
      </c>
      <c r="F152" s="5" t="s">
        <v>282</v>
      </c>
      <c r="G152" s="5" t="s">
        <v>283</v>
      </c>
      <c r="H152" s="14">
        <v>525000</v>
      </c>
      <c r="I152" s="5" t="s">
        <v>407</v>
      </c>
      <c r="J152" s="14"/>
    </row>
    <row r="153" spans="1:10" x14ac:dyDescent="0.3">
      <c r="A153" s="18">
        <v>40</v>
      </c>
      <c r="B153" s="20">
        <v>32</v>
      </c>
      <c r="C153" s="18">
        <v>32</v>
      </c>
      <c r="D153" s="18" t="s">
        <v>402</v>
      </c>
      <c r="E153" s="5" t="s">
        <v>262</v>
      </c>
      <c r="F153" s="5" t="s">
        <v>276</v>
      </c>
      <c r="G153" s="5" t="s">
        <v>277</v>
      </c>
      <c r="H153" s="14">
        <v>4419000</v>
      </c>
      <c r="I153" s="5" t="s">
        <v>407</v>
      </c>
      <c r="J153" s="14"/>
    </row>
    <row r="154" spans="1:10" x14ac:dyDescent="0.3">
      <c r="A154" s="18">
        <v>33</v>
      </c>
      <c r="B154" s="20">
        <v>29</v>
      </c>
      <c r="C154" s="18">
        <v>33</v>
      </c>
      <c r="D154" s="18" t="s">
        <v>402</v>
      </c>
      <c r="E154" s="5" t="s">
        <v>262</v>
      </c>
      <c r="F154" s="5" t="s">
        <v>195</v>
      </c>
      <c r="G154" s="5" t="s">
        <v>264</v>
      </c>
      <c r="H154" s="14">
        <v>1380000</v>
      </c>
      <c r="I154" s="5" t="s">
        <v>407</v>
      </c>
      <c r="J154" s="14"/>
    </row>
    <row r="155" spans="1:10" x14ac:dyDescent="0.3">
      <c r="A155" s="18">
        <v>31</v>
      </c>
      <c r="B155" s="20">
        <v>27</v>
      </c>
      <c r="C155" s="18">
        <v>34</v>
      </c>
      <c r="D155" s="18" t="s">
        <v>402</v>
      </c>
      <c r="E155" s="5" t="s">
        <v>262</v>
      </c>
      <c r="F155" s="5" t="s">
        <v>280</v>
      </c>
      <c r="G155" s="5" t="s">
        <v>281</v>
      </c>
      <c r="H155" s="14">
        <v>508500</v>
      </c>
      <c r="I155" s="5" t="s">
        <v>407</v>
      </c>
      <c r="J155" s="14"/>
    </row>
    <row r="156" spans="1:10" x14ac:dyDescent="0.3">
      <c r="A156" s="18">
        <v>2</v>
      </c>
      <c r="B156" s="20">
        <v>21</v>
      </c>
      <c r="C156" s="18">
        <v>35</v>
      </c>
      <c r="D156" s="18" t="s">
        <v>402</v>
      </c>
      <c r="E156" s="5" t="s">
        <v>262</v>
      </c>
      <c r="F156" s="5" t="s">
        <v>229</v>
      </c>
      <c r="G156" s="5" t="s">
        <v>267</v>
      </c>
      <c r="H156" s="14">
        <v>2700000</v>
      </c>
      <c r="I156" s="5" t="s">
        <v>407</v>
      </c>
      <c r="J156" s="14"/>
    </row>
    <row r="157" spans="1:10" x14ac:dyDescent="0.3">
      <c r="A157" s="18">
        <v>36</v>
      </c>
      <c r="B157" s="20">
        <v>20</v>
      </c>
      <c r="C157" s="18">
        <v>36</v>
      </c>
      <c r="D157" s="18" t="s">
        <v>402</v>
      </c>
      <c r="E157" s="5" t="s">
        <v>262</v>
      </c>
      <c r="F157" s="5" t="s">
        <v>293</v>
      </c>
      <c r="G157" s="5" t="s">
        <v>294</v>
      </c>
      <c r="H157" s="14">
        <v>5000000</v>
      </c>
      <c r="I157" s="5" t="s">
        <v>407</v>
      </c>
      <c r="J157" s="14"/>
    </row>
    <row r="158" spans="1:10" x14ac:dyDescent="0.3">
      <c r="A158" s="18">
        <v>38</v>
      </c>
      <c r="B158" s="20">
        <v>19</v>
      </c>
      <c r="C158" s="18">
        <v>37</v>
      </c>
      <c r="D158" s="18" t="s">
        <v>402</v>
      </c>
      <c r="E158" s="5" t="s">
        <v>262</v>
      </c>
      <c r="F158" s="5" t="s">
        <v>295</v>
      </c>
      <c r="G158" s="5" t="s">
        <v>296</v>
      </c>
      <c r="H158" s="14">
        <v>1500000</v>
      </c>
      <c r="I158" s="5" t="s">
        <v>407</v>
      </c>
      <c r="J158" s="14"/>
    </row>
    <row r="159" spans="1:10" x14ac:dyDescent="0.3">
      <c r="A159" s="18">
        <v>5</v>
      </c>
      <c r="B159" s="20">
        <v>15</v>
      </c>
      <c r="C159" s="18">
        <v>38</v>
      </c>
      <c r="D159" s="18" t="s">
        <v>402</v>
      </c>
      <c r="E159" s="5" t="s">
        <v>262</v>
      </c>
      <c r="F159" s="5" t="s">
        <v>303</v>
      </c>
      <c r="G159" s="5" t="s">
        <v>304</v>
      </c>
      <c r="H159" s="14">
        <v>2725000</v>
      </c>
      <c r="I159" s="5" t="s">
        <v>407</v>
      </c>
      <c r="J159" s="14"/>
    </row>
    <row r="160" spans="1:10" x14ac:dyDescent="0.3">
      <c r="A160" s="18">
        <v>14</v>
      </c>
      <c r="B160" s="20">
        <v>14</v>
      </c>
      <c r="C160" s="18">
        <v>39</v>
      </c>
      <c r="D160" s="18" t="s">
        <v>402</v>
      </c>
      <c r="E160" s="5" t="s">
        <v>262</v>
      </c>
      <c r="F160" s="5" t="s">
        <v>323</v>
      </c>
      <c r="G160" s="5" t="s">
        <v>324</v>
      </c>
      <c r="H160" s="14">
        <v>1000000</v>
      </c>
      <c r="I160" s="5" t="s">
        <v>407</v>
      </c>
      <c r="J160" s="14"/>
    </row>
    <row r="161" spans="1:10" x14ac:dyDescent="0.3">
      <c r="A161" s="18">
        <v>4</v>
      </c>
      <c r="B161" s="20">
        <v>13</v>
      </c>
      <c r="C161" s="18">
        <v>40</v>
      </c>
      <c r="D161" s="18" t="s">
        <v>402</v>
      </c>
      <c r="E161" s="5" t="s">
        <v>262</v>
      </c>
      <c r="F161" s="5" t="s">
        <v>329</v>
      </c>
      <c r="G161" s="5" t="s">
        <v>330</v>
      </c>
      <c r="H161" s="14">
        <v>1900000</v>
      </c>
      <c r="I161" s="5" t="s">
        <v>407</v>
      </c>
      <c r="J161" s="14"/>
    </row>
    <row r="162" spans="1:10" x14ac:dyDescent="0.3">
      <c r="A162" s="18">
        <v>9</v>
      </c>
      <c r="B162" s="20">
        <v>9</v>
      </c>
      <c r="C162" s="18">
        <v>41</v>
      </c>
      <c r="D162" s="18" t="s">
        <v>402</v>
      </c>
      <c r="E162" s="5" t="s">
        <v>262</v>
      </c>
      <c r="F162" s="5" t="s">
        <v>290</v>
      </c>
      <c r="G162" s="5" t="s">
        <v>277</v>
      </c>
      <c r="H162" s="14">
        <v>1110000</v>
      </c>
      <c r="I162" s="5" t="s">
        <v>407</v>
      </c>
      <c r="J162" s="14"/>
    </row>
    <row r="163" spans="1:10" x14ac:dyDescent="0.3">
      <c r="A163" s="18">
        <v>29</v>
      </c>
      <c r="B163" s="20">
        <v>8</v>
      </c>
      <c r="C163" s="18">
        <v>42</v>
      </c>
      <c r="D163" s="18" t="s">
        <v>402</v>
      </c>
      <c r="E163" s="5" t="s">
        <v>262</v>
      </c>
      <c r="F163" s="5" t="s">
        <v>291</v>
      </c>
      <c r="G163" s="5" t="s">
        <v>292</v>
      </c>
      <c r="H163" s="14">
        <v>638000</v>
      </c>
      <c r="I163" s="5" t="s">
        <v>407</v>
      </c>
      <c r="J163" s="14"/>
    </row>
    <row r="164" spans="1:10" ht="15" thickBot="1" x14ac:dyDescent="0.35">
      <c r="A164" s="27">
        <v>3</v>
      </c>
      <c r="B164" s="30">
        <v>7</v>
      </c>
      <c r="C164" s="27">
        <v>43</v>
      </c>
      <c r="D164" s="27" t="s">
        <v>402</v>
      </c>
      <c r="E164" s="28" t="s">
        <v>262</v>
      </c>
      <c r="F164" s="28" t="s">
        <v>327</v>
      </c>
      <c r="G164" s="28" t="s">
        <v>328</v>
      </c>
      <c r="H164" s="29">
        <v>1680000</v>
      </c>
      <c r="I164" s="28" t="s">
        <v>407</v>
      </c>
      <c r="J164" s="29"/>
    </row>
    <row r="165" spans="1:10" x14ac:dyDescent="0.3">
      <c r="A165" s="24">
        <v>11</v>
      </c>
      <c r="B165" s="24">
        <v>345</v>
      </c>
      <c r="C165" s="24">
        <v>1</v>
      </c>
      <c r="D165" s="24" t="s">
        <v>401</v>
      </c>
      <c r="E165" s="25" t="s">
        <v>4</v>
      </c>
      <c r="F165" s="25" t="s">
        <v>13</v>
      </c>
      <c r="G165" s="25" t="s">
        <v>14</v>
      </c>
      <c r="H165" s="38">
        <v>2130000</v>
      </c>
      <c r="I165" s="25" t="s">
        <v>406</v>
      </c>
      <c r="J165" s="26"/>
    </row>
    <row r="166" spans="1:10" x14ac:dyDescent="0.3">
      <c r="A166" s="16">
        <v>9</v>
      </c>
      <c r="B166" s="16">
        <v>152</v>
      </c>
      <c r="C166" s="16">
        <v>2</v>
      </c>
      <c r="D166" s="16" t="s">
        <v>401</v>
      </c>
      <c r="E166" s="17" t="s">
        <v>4</v>
      </c>
      <c r="F166" s="17" t="s">
        <v>15</v>
      </c>
      <c r="G166" s="17" t="s">
        <v>16</v>
      </c>
      <c r="H166" s="37">
        <v>4760000</v>
      </c>
      <c r="I166" s="17" t="s">
        <v>406</v>
      </c>
      <c r="J166" s="14"/>
    </row>
    <row r="167" spans="1:10" x14ac:dyDescent="0.3">
      <c r="A167" s="16">
        <v>13</v>
      </c>
      <c r="B167" s="16">
        <v>82</v>
      </c>
      <c r="C167" s="16">
        <v>3</v>
      </c>
      <c r="D167" s="16" t="s">
        <v>401</v>
      </c>
      <c r="E167" s="17" t="s">
        <v>4</v>
      </c>
      <c r="F167" s="17" t="s">
        <v>5</v>
      </c>
      <c r="G167" s="17" t="s">
        <v>6</v>
      </c>
      <c r="H167" s="37">
        <v>5000000</v>
      </c>
      <c r="I167" s="17" t="s">
        <v>406</v>
      </c>
      <c r="J167" s="14"/>
    </row>
    <row r="168" spans="1:10" x14ac:dyDescent="0.3">
      <c r="A168" s="16">
        <v>12</v>
      </c>
      <c r="B168" s="16">
        <v>74</v>
      </c>
      <c r="C168" s="16">
        <v>4</v>
      </c>
      <c r="D168" s="16" t="s">
        <v>401</v>
      </c>
      <c r="E168" s="17" t="s">
        <v>4</v>
      </c>
      <c r="F168" s="17" t="s">
        <v>9</v>
      </c>
      <c r="G168" s="17" t="s">
        <v>10</v>
      </c>
      <c r="H168" s="37">
        <v>5000000</v>
      </c>
      <c r="I168" s="17" t="s">
        <v>406</v>
      </c>
      <c r="J168" s="14"/>
    </row>
    <row r="169" spans="1:10" x14ac:dyDescent="0.3">
      <c r="A169" s="16">
        <v>19</v>
      </c>
      <c r="B169" s="16">
        <v>66</v>
      </c>
      <c r="C169" s="16">
        <v>5</v>
      </c>
      <c r="D169" s="16" t="s">
        <v>401</v>
      </c>
      <c r="E169" s="17" t="s">
        <v>4</v>
      </c>
      <c r="F169" s="17" t="s">
        <v>31</v>
      </c>
      <c r="G169" s="17" t="s">
        <v>32</v>
      </c>
      <c r="H169" s="37">
        <v>5000000</v>
      </c>
      <c r="I169" s="17" t="s">
        <v>406</v>
      </c>
      <c r="J169" s="14"/>
    </row>
    <row r="170" spans="1:10" x14ac:dyDescent="0.3">
      <c r="A170" s="18">
        <v>7</v>
      </c>
      <c r="B170" s="18">
        <v>60</v>
      </c>
      <c r="C170" s="18">
        <v>6</v>
      </c>
      <c r="D170" s="18" t="s">
        <v>402</v>
      </c>
      <c r="E170" s="5" t="s">
        <v>4</v>
      </c>
      <c r="F170" s="5" t="s">
        <v>25</v>
      </c>
      <c r="G170" s="5" t="s">
        <v>26</v>
      </c>
      <c r="H170" s="21">
        <v>495000</v>
      </c>
      <c r="I170" s="5" t="s">
        <v>407</v>
      </c>
      <c r="J170" s="14"/>
    </row>
    <row r="171" spans="1:10" x14ac:dyDescent="0.3">
      <c r="A171" s="18">
        <v>17</v>
      </c>
      <c r="B171" s="18">
        <v>50</v>
      </c>
      <c r="C171" s="18">
        <v>7</v>
      </c>
      <c r="D171" s="18" t="s">
        <v>402</v>
      </c>
      <c r="E171" s="5" t="s">
        <v>4</v>
      </c>
      <c r="F171" s="5" t="s">
        <v>2</v>
      </c>
      <c r="G171" s="5" t="s">
        <v>3</v>
      </c>
      <c r="H171" s="21">
        <v>1350000</v>
      </c>
      <c r="I171" s="5" t="s">
        <v>407</v>
      </c>
      <c r="J171" s="14"/>
    </row>
    <row r="172" spans="1:10" x14ac:dyDescent="0.3">
      <c r="A172" s="18">
        <v>20</v>
      </c>
      <c r="B172" s="18">
        <v>32</v>
      </c>
      <c r="C172" s="18">
        <v>8</v>
      </c>
      <c r="D172" s="18" t="s">
        <v>402</v>
      </c>
      <c r="E172" s="5" t="s">
        <v>4</v>
      </c>
      <c r="F172" s="5" t="s">
        <v>39</v>
      </c>
      <c r="G172" s="5" t="s">
        <v>40</v>
      </c>
      <c r="H172" s="21">
        <v>533000</v>
      </c>
      <c r="I172" s="5" t="s">
        <v>407</v>
      </c>
      <c r="J172" s="14"/>
    </row>
    <row r="173" spans="1:10" x14ac:dyDescent="0.3">
      <c r="A173" s="18">
        <v>8</v>
      </c>
      <c r="B173" s="18">
        <v>27</v>
      </c>
      <c r="C173" s="18">
        <v>9</v>
      </c>
      <c r="D173" s="18" t="s">
        <v>402</v>
      </c>
      <c r="E173" s="5" t="s">
        <v>4</v>
      </c>
      <c r="F173" s="5" t="s">
        <v>7</v>
      </c>
      <c r="G173" s="5" t="s">
        <v>8</v>
      </c>
      <c r="H173" s="21">
        <v>881000</v>
      </c>
      <c r="I173" s="5" t="s">
        <v>407</v>
      </c>
      <c r="J173" s="14"/>
    </row>
    <row r="174" spans="1:10" x14ac:dyDescent="0.3">
      <c r="A174" s="18">
        <v>18</v>
      </c>
      <c r="B174" s="18">
        <v>27</v>
      </c>
      <c r="C174" s="18">
        <v>10</v>
      </c>
      <c r="D174" s="18" t="s">
        <v>402</v>
      </c>
      <c r="E174" s="5" t="s">
        <v>4</v>
      </c>
      <c r="F174" s="5" t="s">
        <v>11</v>
      </c>
      <c r="G174" s="5" t="s">
        <v>12</v>
      </c>
      <c r="H174" s="21">
        <v>630000</v>
      </c>
      <c r="I174" s="5" t="s">
        <v>407</v>
      </c>
      <c r="J174" s="14"/>
    </row>
    <row r="175" spans="1:10" x14ac:dyDescent="0.3">
      <c r="A175" s="18">
        <v>6</v>
      </c>
      <c r="B175" s="18">
        <v>24</v>
      </c>
      <c r="C175" s="18">
        <v>11</v>
      </c>
      <c r="D175" s="18" t="s">
        <v>402</v>
      </c>
      <c r="E175" s="5" t="s">
        <v>4</v>
      </c>
      <c r="F175" s="5" t="s">
        <v>19</v>
      </c>
      <c r="G175" s="5" t="s">
        <v>20</v>
      </c>
      <c r="H175" s="21">
        <v>1608000</v>
      </c>
      <c r="I175" s="5" t="s">
        <v>407</v>
      </c>
      <c r="J175" s="14"/>
    </row>
    <row r="176" spans="1:10" x14ac:dyDescent="0.3">
      <c r="A176" s="18">
        <v>2</v>
      </c>
      <c r="B176" s="18">
        <v>20</v>
      </c>
      <c r="C176" s="18">
        <v>12</v>
      </c>
      <c r="D176" s="18" t="s">
        <v>402</v>
      </c>
      <c r="E176" s="5" t="s">
        <v>4</v>
      </c>
      <c r="F176" s="5" t="s">
        <v>33</v>
      </c>
      <c r="G176" s="5" t="s">
        <v>34</v>
      </c>
      <c r="H176" s="21">
        <v>1074000</v>
      </c>
      <c r="I176" s="5" t="s">
        <v>407</v>
      </c>
      <c r="J176" s="23"/>
    </row>
    <row r="177" spans="1:10" x14ac:dyDescent="0.3">
      <c r="A177" s="18">
        <v>15</v>
      </c>
      <c r="B177" s="18">
        <v>19</v>
      </c>
      <c r="C177" s="18">
        <v>13</v>
      </c>
      <c r="D177" s="18" t="s">
        <v>402</v>
      </c>
      <c r="E177" s="5" t="s">
        <v>4</v>
      </c>
      <c r="F177" s="5" t="s">
        <v>21</v>
      </c>
      <c r="G177" s="5" t="s">
        <v>22</v>
      </c>
      <c r="H177" s="14">
        <v>514000</v>
      </c>
      <c r="I177" s="5" t="s">
        <v>407</v>
      </c>
      <c r="J177" s="14"/>
    </row>
    <row r="178" spans="1:10" x14ac:dyDescent="0.3">
      <c r="A178" s="16">
        <v>1</v>
      </c>
      <c r="B178" s="16">
        <v>16</v>
      </c>
      <c r="C178" s="16">
        <v>14</v>
      </c>
      <c r="D178" s="16" t="s">
        <v>401</v>
      </c>
      <c r="E178" s="17" t="s">
        <v>4</v>
      </c>
      <c r="F178" s="17" t="s">
        <v>23</v>
      </c>
      <c r="G178" s="17" t="s">
        <v>24</v>
      </c>
      <c r="H178" s="37">
        <v>120000</v>
      </c>
      <c r="I178" s="17" t="s">
        <v>406</v>
      </c>
      <c r="J178" s="19">
        <f>SUM(H165:H169,H178)</f>
        <v>22010000</v>
      </c>
    </row>
    <row r="179" spans="1:10" x14ac:dyDescent="0.3">
      <c r="A179" s="18">
        <v>3</v>
      </c>
      <c r="B179" s="20">
        <v>15</v>
      </c>
      <c r="C179" s="18">
        <v>15</v>
      </c>
      <c r="D179" s="18" t="s">
        <v>402</v>
      </c>
      <c r="E179" s="5" t="s">
        <v>4</v>
      </c>
      <c r="F179" s="5" t="s">
        <v>35</v>
      </c>
      <c r="G179" s="5" t="s">
        <v>36</v>
      </c>
      <c r="H179" s="14">
        <v>259000</v>
      </c>
      <c r="I179" s="5" t="s">
        <v>407</v>
      </c>
      <c r="J179" s="14"/>
    </row>
    <row r="180" spans="1:10" x14ac:dyDescent="0.3">
      <c r="A180" s="18">
        <v>16</v>
      </c>
      <c r="B180" s="20">
        <v>14</v>
      </c>
      <c r="C180" s="18">
        <v>16</v>
      </c>
      <c r="D180" s="18" t="s">
        <v>402</v>
      </c>
      <c r="E180" s="5" t="s">
        <v>4</v>
      </c>
      <c r="F180" s="5" t="s">
        <v>29</v>
      </c>
      <c r="G180" s="5" t="s">
        <v>30</v>
      </c>
      <c r="H180" s="14">
        <v>860000</v>
      </c>
      <c r="I180" s="5" t="s">
        <v>407</v>
      </c>
      <c r="J180" s="14"/>
    </row>
    <row r="181" spans="1:10" x14ac:dyDescent="0.3">
      <c r="A181" s="18">
        <v>14</v>
      </c>
      <c r="B181" s="20">
        <v>11</v>
      </c>
      <c r="C181" s="18">
        <v>17</v>
      </c>
      <c r="D181" s="18" t="s">
        <v>402</v>
      </c>
      <c r="E181" s="5" t="s">
        <v>4</v>
      </c>
      <c r="F181" s="5" t="s">
        <v>27</v>
      </c>
      <c r="G181" s="5" t="s">
        <v>28</v>
      </c>
      <c r="H181" s="14">
        <v>336000</v>
      </c>
      <c r="I181" s="5" t="s">
        <v>407</v>
      </c>
      <c r="J181" s="14"/>
    </row>
    <row r="182" spans="1:10" x14ac:dyDescent="0.3">
      <c r="A182" s="18">
        <v>5</v>
      </c>
      <c r="B182" s="20">
        <v>9</v>
      </c>
      <c r="C182" s="18">
        <v>18</v>
      </c>
      <c r="D182" s="18" t="s">
        <v>402</v>
      </c>
      <c r="E182" s="5" t="s">
        <v>4</v>
      </c>
      <c r="F182" s="5" t="s">
        <v>37</v>
      </c>
      <c r="G182" s="5" t="s">
        <v>38</v>
      </c>
      <c r="H182" s="14">
        <v>885000</v>
      </c>
      <c r="I182" s="5" t="s">
        <v>407</v>
      </c>
      <c r="J182" s="14"/>
    </row>
    <row r="183" spans="1:10" x14ac:dyDescent="0.3">
      <c r="A183" s="18">
        <v>4</v>
      </c>
      <c r="B183" s="20">
        <v>7</v>
      </c>
      <c r="C183" s="18">
        <v>19</v>
      </c>
      <c r="D183" s="18" t="s">
        <v>402</v>
      </c>
      <c r="E183" s="5" t="s">
        <v>4</v>
      </c>
      <c r="F183" s="5" t="s">
        <v>41</v>
      </c>
      <c r="G183" s="5" t="s">
        <v>42</v>
      </c>
      <c r="H183" s="14">
        <v>215000</v>
      </c>
      <c r="I183" s="5" t="s">
        <v>407</v>
      </c>
      <c r="J183" s="14"/>
    </row>
    <row r="184" spans="1:10" ht="15" thickBot="1" x14ac:dyDescent="0.35">
      <c r="A184" s="27">
        <v>10</v>
      </c>
      <c r="B184" s="30">
        <v>5</v>
      </c>
      <c r="C184" s="27">
        <v>20</v>
      </c>
      <c r="D184" s="27" t="s">
        <v>402</v>
      </c>
      <c r="E184" s="28" t="s">
        <v>4</v>
      </c>
      <c r="F184" s="28" t="s">
        <v>17</v>
      </c>
      <c r="G184" s="28" t="s">
        <v>18</v>
      </c>
      <c r="H184" s="29">
        <v>5000000</v>
      </c>
      <c r="I184" s="28" t="s">
        <v>407</v>
      </c>
      <c r="J184" s="29"/>
    </row>
    <row r="185" spans="1:10" x14ac:dyDescent="0.3">
      <c r="A185" s="24">
        <v>2</v>
      </c>
      <c r="B185" s="24">
        <v>429</v>
      </c>
      <c r="C185" s="24">
        <v>1</v>
      </c>
      <c r="D185" s="24" t="s">
        <v>401</v>
      </c>
      <c r="E185" s="25" t="s">
        <v>149</v>
      </c>
      <c r="F185" s="25" t="s">
        <v>156</v>
      </c>
      <c r="G185" s="25" t="s">
        <v>157</v>
      </c>
      <c r="H185" s="38">
        <v>4250000</v>
      </c>
      <c r="I185" s="25" t="s">
        <v>406</v>
      </c>
      <c r="J185" s="26"/>
    </row>
    <row r="186" spans="1:10" x14ac:dyDescent="0.3">
      <c r="A186" s="16">
        <v>3</v>
      </c>
      <c r="B186" s="16">
        <v>126</v>
      </c>
      <c r="C186" s="16">
        <v>2</v>
      </c>
      <c r="D186" s="16" t="s">
        <v>401</v>
      </c>
      <c r="E186" s="17" t="s">
        <v>149</v>
      </c>
      <c r="F186" s="17" t="s">
        <v>158</v>
      </c>
      <c r="G186" s="17" t="s">
        <v>159</v>
      </c>
      <c r="H186" s="37">
        <v>5000000</v>
      </c>
      <c r="I186" s="17" t="s">
        <v>406</v>
      </c>
      <c r="J186" s="14"/>
    </row>
    <row r="187" spans="1:10" x14ac:dyDescent="0.3">
      <c r="A187" s="16">
        <v>6</v>
      </c>
      <c r="B187" s="16">
        <v>37</v>
      </c>
      <c r="C187" s="16">
        <v>3</v>
      </c>
      <c r="D187" s="16" t="s">
        <v>401</v>
      </c>
      <c r="E187" s="17" t="s">
        <v>149</v>
      </c>
      <c r="F187" s="17" t="s">
        <v>162</v>
      </c>
      <c r="G187" s="17" t="s">
        <v>163</v>
      </c>
      <c r="H187" s="37">
        <v>2100000</v>
      </c>
      <c r="I187" s="17" t="s">
        <v>406</v>
      </c>
      <c r="J187" s="14"/>
    </row>
    <row r="188" spans="1:10" x14ac:dyDescent="0.3">
      <c r="A188" s="16">
        <v>1</v>
      </c>
      <c r="B188" s="16">
        <v>35</v>
      </c>
      <c r="C188" s="16">
        <v>4</v>
      </c>
      <c r="D188" s="16" t="s">
        <v>401</v>
      </c>
      <c r="E188" s="17" t="s">
        <v>149</v>
      </c>
      <c r="F188" s="17" t="s">
        <v>147</v>
      </c>
      <c r="G188" s="17" t="s">
        <v>148</v>
      </c>
      <c r="H188" s="37">
        <v>723000</v>
      </c>
      <c r="I188" s="17" t="s">
        <v>406</v>
      </c>
      <c r="J188" s="14"/>
    </row>
    <row r="189" spans="1:10" x14ac:dyDescent="0.3">
      <c r="A189" s="16">
        <v>4</v>
      </c>
      <c r="B189" s="16">
        <v>19</v>
      </c>
      <c r="C189" s="16">
        <v>5</v>
      </c>
      <c r="D189" s="16" t="s">
        <v>401</v>
      </c>
      <c r="E189" s="17" t="s">
        <v>149</v>
      </c>
      <c r="F189" s="17" t="s">
        <v>150</v>
      </c>
      <c r="G189" s="17" t="s">
        <v>151</v>
      </c>
      <c r="H189" s="37">
        <v>372000</v>
      </c>
      <c r="I189" s="17" t="s">
        <v>406</v>
      </c>
      <c r="J189" s="14"/>
    </row>
    <row r="190" spans="1:10" x14ac:dyDescent="0.3">
      <c r="A190" s="16">
        <v>5</v>
      </c>
      <c r="B190" s="16">
        <v>13</v>
      </c>
      <c r="C190" s="16">
        <v>6</v>
      </c>
      <c r="D190" s="16" t="s">
        <v>401</v>
      </c>
      <c r="E190" s="17" t="s">
        <v>149</v>
      </c>
      <c r="F190" s="17" t="s">
        <v>160</v>
      </c>
      <c r="G190" s="17" t="s">
        <v>161</v>
      </c>
      <c r="H190" s="37">
        <v>623000</v>
      </c>
      <c r="I190" s="17" t="s">
        <v>406</v>
      </c>
      <c r="J190" s="14"/>
    </row>
    <row r="191" spans="1:10" x14ac:dyDescent="0.3">
      <c r="A191" s="16">
        <v>8</v>
      </c>
      <c r="B191" s="16">
        <v>13</v>
      </c>
      <c r="C191" s="16">
        <v>7</v>
      </c>
      <c r="D191" s="16" t="s">
        <v>401</v>
      </c>
      <c r="E191" s="17" t="s">
        <v>149</v>
      </c>
      <c r="F191" s="17" t="s">
        <v>137</v>
      </c>
      <c r="G191" s="17" t="s">
        <v>152</v>
      </c>
      <c r="H191" s="37">
        <v>5000000</v>
      </c>
      <c r="I191" s="17" t="s">
        <v>406</v>
      </c>
      <c r="J191" s="14"/>
    </row>
    <row r="192" spans="1:10" x14ac:dyDescent="0.3">
      <c r="A192" s="18">
        <v>7</v>
      </c>
      <c r="B192" s="18">
        <v>9</v>
      </c>
      <c r="C192" s="18">
        <v>8</v>
      </c>
      <c r="D192" s="18" t="s">
        <v>402</v>
      </c>
      <c r="E192" s="5" t="s">
        <v>149</v>
      </c>
      <c r="F192" s="5" t="s">
        <v>153</v>
      </c>
      <c r="G192" s="5" t="s">
        <v>154</v>
      </c>
      <c r="H192" s="14">
        <v>2250000</v>
      </c>
      <c r="I192" s="5" t="s">
        <v>407</v>
      </c>
      <c r="J192" s="14"/>
    </row>
    <row r="193" spans="1:10" ht="15" thickBot="1" x14ac:dyDescent="0.35">
      <c r="A193" s="31">
        <v>9</v>
      </c>
      <c r="B193" s="32">
        <v>9</v>
      </c>
      <c r="C193" s="31">
        <v>9</v>
      </c>
      <c r="D193" s="31" t="s">
        <v>401</v>
      </c>
      <c r="E193" s="33" t="s">
        <v>149</v>
      </c>
      <c r="F193" s="33" t="s">
        <v>139</v>
      </c>
      <c r="G193" s="33" t="s">
        <v>155</v>
      </c>
      <c r="H193" s="39">
        <v>162000</v>
      </c>
      <c r="I193" s="33" t="s">
        <v>406</v>
      </c>
      <c r="J193" s="34">
        <f>SUM(H185:H191,H193)</f>
        <v>18230000</v>
      </c>
    </row>
    <row r="194" spans="1:10" x14ac:dyDescent="0.3">
      <c r="A194" s="24">
        <v>2</v>
      </c>
      <c r="B194" s="24">
        <v>1439</v>
      </c>
      <c r="C194" s="24">
        <v>1</v>
      </c>
      <c r="D194" s="24" t="s">
        <v>401</v>
      </c>
      <c r="E194" s="25" t="s">
        <v>220</v>
      </c>
      <c r="F194" s="25" t="s">
        <v>246</v>
      </c>
      <c r="G194" s="25" t="s">
        <v>247</v>
      </c>
      <c r="H194" s="38">
        <v>5000000</v>
      </c>
      <c r="I194" s="25" t="s">
        <v>406</v>
      </c>
      <c r="J194" s="26"/>
    </row>
    <row r="195" spans="1:10" x14ac:dyDescent="0.3">
      <c r="A195" s="16">
        <v>22</v>
      </c>
      <c r="B195" s="16">
        <v>758</v>
      </c>
      <c r="C195" s="16">
        <v>2</v>
      </c>
      <c r="D195" s="16" t="s">
        <v>401</v>
      </c>
      <c r="E195" s="17" t="s">
        <v>220</v>
      </c>
      <c r="F195" s="17" t="s">
        <v>218</v>
      </c>
      <c r="G195" s="17" t="s">
        <v>219</v>
      </c>
      <c r="H195" s="37">
        <v>3800000</v>
      </c>
      <c r="I195" s="17" t="s">
        <v>406</v>
      </c>
      <c r="J195" s="14"/>
    </row>
    <row r="196" spans="1:10" x14ac:dyDescent="0.3">
      <c r="A196" s="16">
        <v>1</v>
      </c>
      <c r="B196" s="16">
        <v>752</v>
      </c>
      <c r="C196" s="16">
        <v>3</v>
      </c>
      <c r="D196" s="16" t="s">
        <v>401</v>
      </c>
      <c r="E196" s="17" t="s">
        <v>220</v>
      </c>
      <c r="F196" s="17" t="s">
        <v>223</v>
      </c>
      <c r="G196" s="17" t="s">
        <v>224</v>
      </c>
      <c r="H196" s="37">
        <v>3900000</v>
      </c>
      <c r="I196" s="17" t="s">
        <v>406</v>
      </c>
      <c r="J196" s="14"/>
    </row>
    <row r="197" spans="1:10" x14ac:dyDescent="0.3">
      <c r="A197" s="16">
        <v>10</v>
      </c>
      <c r="B197" s="16">
        <v>209</v>
      </c>
      <c r="C197" s="16">
        <v>4</v>
      </c>
      <c r="D197" s="16" t="s">
        <v>401</v>
      </c>
      <c r="E197" s="17" t="s">
        <v>220</v>
      </c>
      <c r="F197" s="17" t="s">
        <v>256</v>
      </c>
      <c r="G197" s="17" t="s">
        <v>257</v>
      </c>
      <c r="H197" s="37">
        <v>2191200</v>
      </c>
      <c r="I197" s="17" t="s">
        <v>406</v>
      </c>
      <c r="J197" s="14"/>
    </row>
    <row r="198" spans="1:10" x14ac:dyDescent="0.3">
      <c r="A198" s="16">
        <v>24</v>
      </c>
      <c r="B198" s="16">
        <v>91</v>
      </c>
      <c r="C198" s="16">
        <v>5</v>
      </c>
      <c r="D198" s="16" t="s">
        <v>401</v>
      </c>
      <c r="E198" s="17" t="s">
        <v>220</v>
      </c>
      <c r="F198" s="17" t="s">
        <v>31</v>
      </c>
      <c r="G198" s="17" t="s">
        <v>32</v>
      </c>
      <c r="H198" s="37">
        <v>5000000</v>
      </c>
      <c r="I198" s="17" t="s">
        <v>406</v>
      </c>
      <c r="J198" s="14"/>
    </row>
    <row r="199" spans="1:10" x14ac:dyDescent="0.3">
      <c r="A199" s="18">
        <v>4</v>
      </c>
      <c r="B199" s="18">
        <v>79</v>
      </c>
      <c r="C199" s="18">
        <v>6</v>
      </c>
      <c r="D199" s="18" t="s">
        <v>402</v>
      </c>
      <c r="E199" s="5" t="s">
        <v>220</v>
      </c>
      <c r="F199" s="5" t="s">
        <v>244</v>
      </c>
      <c r="G199" s="5" t="s">
        <v>245</v>
      </c>
      <c r="H199" s="21">
        <v>3660000</v>
      </c>
      <c r="I199" s="5" t="s">
        <v>407</v>
      </c>
      <c r="J199" s="14"/>
    </row>
    <row r="200" spans="1:10" x14ac:dyDescent="0.3">
      <c r="A200" s="18">
        <v>11</v>
      </c>
      <c r="B200" s="18">
        <v>76</v>
      </c>
      <c r="C200" s="18">
        <v>7</v>
      </c>
      <c r="D200" s="18" t="s">
        <v>402</v>
      </c>
      <c r="E200" s="5" t="s">
        <v>220</v>
      </c>
      <c r="F200" s="5" t="s">
        <v>225</v>
      </c>
      <c r="G200" s="5" t="s">
        <v>226</v>
      </c>
      <c r="H200" s="21">
        <v>3000000</v>
      </c>
      <c r="I200" s="5" t="s">
        <v>407</v>
      </c>
      <c r="J200" s="14"/>
    </row>
    <row r="201" spans="1:10" x14ac:dyDescent="0.3">
      <c r="A201" s="18">
        <v>19</v>
      </c>
      <c r="B201" s="18">
        <v>53</v>
      </c>
      <c r="C201" s="18">
        <v>8</v>
      </c>
      <c r="D201" s="18" t="s">
        <v>402</v>
      </c>
      <c r="E201" s="5" t="s">
        <v>220</v>
      </c>
      <c r="F201" s="5" t="s">
        <v>254</v>
      </c>
      <c r="G201" s="5" t="s">
        <v>255</v>
      </c>
      <c r="H201" s="21">
        <v>5000000</v>
      </c>
      <c r="I201" s="5" t="s">
        <v>407</v>
      </c>
      <c r="J201" s="14"/>
    </row>
    <row r="202" spans="1:10" x14ac:dyDescent="0.3">
      <c r="A202" s="16">
        <v>3</v>
      </c>
      <c r="B202" s="16">
        <v>48</v>
      </c>
      <c r="C202" s="16">
        <v>9</v>
      </c>
      <c r="D202" s="16" t="s">
        <v>401</v>
      </c>
      <c r="E202" s="17" t="s">
        <v>220</v>
      </c>
      <c r="F202" s="17" t="s">
        <v>238</v>
      </c>
      <c r="G202" s="17" t="s">
        <v>239</v>
      </c>
      <c r="H202" s="37">
        <v>1500000</v>
      </c>
      <c r="I202" s="17" t="s">
        <v>406</v>
      </c>
      <c r="J202" s="14"/>
    </row>
    <row r="203" spans="1:10" x14ac:dyDescent="0.3">
      <c r="A203" s="16">
        <v>25</v>
      </c>
      <c r="B203" s="16">
        <v>34</v>
      </c>
      <c r="C203" s="16">
        <v>10</v>
      </c>
      <c r="D203" s="16" t="s">
        <v>401</v>
      </c>
      <c r="E203" s="17" t="s">
        <v>220</v>
      </c>
      <c r="F203" s="17" t="s">
        <v>250</v>
      </c>
      <c r="G203" s="17" t="s">
        <v>251</v>
      </c>
      <c r="H203" s="37">
        <v>400000</v>
      </c>
      <c r="I203" s="17" t="s">
        <v>406</v>
      </c>
      <c r="J203" s="14"/>
    </row>
    <row r="204" spans="1:10" x14ac:dyDescent="0.3">
      <c r="A204" s="18">
        <v>14</v>
      </c>
      <c r="B204" s="18">
        <v>30</v>
      </c>
      <c r="C204" s="18">
        <v>11</v>
      </c>
      <c r="D204" s="18" t="s">
        <v>402</v>
      </c>
      <c r="E204" s="5" t="s">
        <v>220</v>
      </c>
      <c r="F204" s="5" t="s">
        <v>233</v>
      </c>
      <c r="G204" s="5" t="s">
        <v>234</v>
      </c>
      <c r="H204" s="14">
        <v>5000000</v>
      </c>
      <c r="I204" s="5" t="s">
        <v>407</v>
      </c>
      <c r="J204" s="14"/>
    </row>
    <row r="205" spans="1:10" x14ac:dyDescent="0.3">
      <c r="A205" s="18">
        <v>5</v>
      </c>
      <c r="B205" s="18">
        <v>29</v>
      </c>
      <c r="C205" s="18">
        <v>12</v>
      </c>
      <c r="D205" s="18" t="s">
        <v>402</v>
      </c>
      <c r="E205" s="5" t="s">
        <v>220</v>
      </c>
      <c r="F205" s="5" t="s">
        <v>2</v>
      </c>
      <c r="G205" s="5" t="s">
        <v>3</v>
      </c>
      <c r="H205" s="21">
        <v>675000</v>
      </c>
      <c r="I205" s="5" t="s">
        <v>407</v>
      </c>
      <c r="J205" s="14"/>
    </row>
    <row r="206" spans="1:10" x14ac:dyDescent="0.3">
      <c r="A206" s="18">
        <v>17</v>
      </c>
      <c r="B206" s="18">
        <v>25</v>
      </c>
      <c r="C206" s="18">
        <v>13</v>
      </c>
      <c r="D206" s="18" t="s">
        <v>402</v>
      </c>
      <c r="E206" s="5" t="s">
        <v>220</v>
      </c>
      <c r="F206" s="5" t="s">
        <v>221</v>
      </c>
      <c r="G206" s="5" t="s">
        <v>222</v>
      </c>
      <c r="H206" s="21">
        <v>558000</v>
      </c>
      <c r="I206" s="5" t="s">
        <v>407</v>
      </c>
      <c r="J206" s="14"/>
    </row>
    <row r="207" spans="1:10" x14ac:dyDescent="0.3">
      <c r="A207" s="18">
        <v>18</v>
      </c>
      <c r="B207" s="18">
        <v>21</v>
      </c>
      <c r="C207" s="18">
        <v>14</v>
      </c>
      <c r="D207" s="18" t="s">
        <v>402</v>
      </c>
      <c r="E207" s="5" t="s">
        <v>220</v>
      </c>
      <c r="F207" s="5" t="s">
        <v>235</v>
      </c>
      <c r="G207" s="5" t="s">
        <v>236</v>
      </c>
      <c r="H207" s="21">
        <v>349400</v>
      </c>
      <c r="I207" s="5" t="s">
        <v>407</v>
      </c>
      <c r="J207" s="14"/>
    </row>
    <row r="208" spans="1:10" x14ac:dyDescent="0.3">
      <c r="A208" s="18">
        <v>12</v>
      </c>
      <c r="B208" s="18">
        <v>19</v>
      </c>
      <c r="C208" s="18">
        <v>15</v>
      </c>
      <c r="D208" s="18" t="s">
        <v>402</v>
      </c>
      <c r="E208" s="5" t="s">
        <v>220</v>
      </c>
      <c r="F208" s="5" t="s">
        <v>248</v>
      </c>
      <c r="G208" s="5" t="s">
        <v>249</v>
      </c>
      <c r="H208" s="14">
        <v>950000</v>
      </c>
      <c r="I208" s="5" t="s">
        <v>407</v>
      </c>
      <c r="J208" s="14"/>
    </row>
    <row r="209" spans="1:10" x14ac:dyDescent="0.3">
      <c r="A209" s="18">
        <v>8</v>
      </c>
      <c r="B209" s="18">
        <v>13</v>
      </c>
      <c r="C209" s="18">
        <v>16</v>
      </c>
      <c r="D209" s="18" t="s">
        <v>402</v>
      </c>
      <c r="E209" s="5" t="s">
        <v>220</v>
      </c>
      <c r="F209" s="5" t="s">
        <v>240</v>
      </c>
      <c r="G209" s="5" t="s">
        <v>241</v>
      </c>
      <c r="H209" s="14">
        <v>5000000</v>
      </c>
      <c r="I209" s="5" t="s">
        <v>407</v>
      </c>
      <c r="J209" s="14"/>
    </row>
    <row r="210" spans="1:10" x14ac:dyDescent="0.3">
      <c r="A210" s="18">
        <v>13</v>
      </c>
      <c r="B210" s="20">
        <v>12</v>
      </c>
      <c r="C210" s="18">
        <v>17</v>
      </c>
      <c r="D210" s="18" t="s">
        <v>402</v>
      </c>
      <c r="E210" s="5" t="s">
        <v>220</v>
      </c>
      <c r="F210" s="5" t="s">
        <v>231</v>
      </c>
      <c r="G210" s="5" t="s">
        <v>232</v>
      </c>
      <c r="H210" s="14">
        <v>5000000</v>
      </c>
      <c r="I210" s="5" t="s">
        <v>407</v>
      </c>
      <c r="J210" s="14"/>
    </row>
    <row r="211" spans="1:10" x14ac:dyDescent="0.3">
      <c r="A211" s="18">
        <v>21</v>
      </c>
      <c r="B211" s="20">
        <v>12</v>
      </c>
      <c r="C211" s="18">
        <v>18</v>
      </c>
      <c r="D211" s="18" t="s">
        <v>402</v>
      </c>
      <c r="E211" s="5" t="s">
        <v>220</v>
      </c>
      <c r="F211" s="5" t="s">
        <v>258</v>
      </c>
      <c r="G211" s="5" t="s">
        <v>259</v>
      </c>
      <c r="H211" s="14">
        <v>675000</v>
      </c>
      <c r="I211" s="5" t="s">
        <v>407</v>
      </c>
      <c r="J211" s="14"/>
    </row>
    <row r="212" spans="1:10" x14ac:dyDescent="0.3">
      <c r="A212" s="16">
        <v>16</v>
      </c>
      <c r="B212" s="22">
        <v>11</v>
      </c>
      <c r="C212" s="16">
        <v>19</v>
      </c>
      <c r="D212" s="16" t="s">
        <v>401</v>
      </c>
      <c r="E212" s="17" t="s">
        <v>220</v>
      </c>
      <c r="F212" s="17" t="s">
        <v>242</v>
      </c>
      <c r="G212" s="17" t="s">
        <v>243</v>
      </c>
      <c r="H212" s="37">
        <v>120000</v>
      </c>
      <c r="I212" s="17" t="s">
        <v>406</v>
      </c>
      <c r="J212" s="14"/>
    </row>
    <row r="213" spans="1:10" x14ac:dyDescent="0.3">
      <c r="A213" s="18">
        <v>15</v>
      </c>
      <c r="B213" s="20">
        <v>10</v>
      </c>
      <c r="C213" s="18">
        <v>20</v>
      </c>
      <c r="D213" s="18" t="s">
        <v>402</v>
      </c>
      <c r="E213" s="5" t="s">
        <v>220</v>
      </c>
      <c r="F213" s="5" t="s">
        <v>229</v>
      </c>
      <c r="G213" s="5" t="s">
        <v>230</v>
      </c>
      <c r="H213" s="14">
        <v>1425000</v>
      </c>
      <c r="I213" s="5" t="s">
        <v>407</v>
      </c>
      <c r="J213" s="14"/>
    </row>
    <row r="214" spans="1:10" x14ac:dyDescent="0.3">
      <c r="A214" s="18">
        <v>6</v>
      </c>
      <c r="B214" s="20">
        <v>9</v>
      </c>
      <c r="C214" s="18">
        <v>21</v>
      </c>
      <c r="D214" s="18" t="s">
        <v>402</v>
      </c>
      <c r="E214" s="5" t="s">
        <v>220</v>
      </c>
      <c r="F214" s="5" t="s">
        <v>150</v>
      </c>
      <c r="G214" s="5" t="s">
        <v>151</v>
      </c>
      <c r="H214" s="14">
        <v>468000</v>
      </c>
      <c r="I214" s="5" t="s">
        <v>407</v>
      </c>
      <c r="J214" s="14"/>
    </row>
    <row r="215" spans="1:10" x14ac:dyDescent="0.3">
      <c r="A215" s="16">
        <v>7</v>
      </c>
      <c r="B215" s="22">
        <v>9</v>
      </c>
      <c r="C215" s="16">
        <v>22</v>
      </c>
      <c r="D215" s="16" t="s">
        <v>401</v>
      </c>
      <c r="E215" s="17" t="s">
        <v>220</v>
      </c>
      <c r="F215" s="17" t="s">
        <v>252</v>
      </c>
      <c r="G215" s="17" t="s">
        <v>253</v>
      </c>
      <c r="H215" s="37">
        <v>34500</v>
      </c>
      <c r="I215" s="17" t="s">
        <v>406</v>
      </c>
      <c r="J215" s="19">
        <f>SUM(H194:H198,H202:H203,H212,H215)</f>
        <v>21945700</v>
      </c>
    </row>
    <row r="216" spans="1:10" x14ac:dyDescent="0.3">
      <c r="A216" s="18">
        <v>23</v>
      </c>
      <c r="B216" s="20">
        <v>8</v>
      </c>
      <c r="C216" s="18">
        <v>23</v>
      </c>
      <c r="D216" s="18" t="s">
        <v>402</v>
      </c>
      <c r="E216" s="5" t="s">
        <v>220</v>
      </c>
      <c r="F216" s="5" t="s">
        <v>88</v>
      </c>
      <c r="G216" s="5" t="s">
        <v>89</v>
      </c>
      <c r="H216" s="14">
        <v>450000</v>
      </c>
      <c r="I216" s="5" t="s">
        <v>407</v>
      </c>
      <c r="J216" s="14"/>
    </row>
    <row r="217" spans="1:10" x14ac:dyDescent="0.3">
      <c r="A217" s="18">
        <v>20</v>
      </c>
      <c r="B217" s="20">
        <v>8</v>
      </c>
      <c r="C217" s="18">
        <v>24</v>
      </c>
      <c r="D217" s="18" t="s">
        <v>402</v>
      </c>
      <c r="E217" s="5" t="s">
        <v>220</v>
      </c>
      <c r="F217" s="5" t="s">
        <v>227</v>
      </c>
      <c r="G217" s="5" t="s">
        <v>228</v>
      </c>
      <c r="H217" s="14">
        <v>2250000</v>
      </c>
      <c r="I217" s="5" t="s">
        <v>407</v>
      </c>
      <c r="J217" s="14"/>
    </row>
    <row r="218" spans="1:10" ht="15" thickBot="1" x14ac:dyDescent="0.35">
      <c r="A218" s="27">
        <v>9</v>
      </c>
      <c r="B218" s="30">
        <v>8</v>
      </c>
      <c r="C218" s="27">
        <v>25</v>
      </c>
      <c r="D218" s="27" t="s">
        <v>402</v>
      </c>
      <c r="E218" s="28" t="s">
        <v>220</v>
      </c>
      <c r="F218" s="28" t="s">
        <v>39</v>
      </c>
      <c r="G218" s="28" t="s">
        <v>237</v>
      </c>
      <c r="H218" s="29">
        <v>101400</v>
      </c>
      <c r="I218" s="28" t="s">
        <v>407</v>
      </c>
      <c r="J218" s="29"/>
    </row>
  </sheetData>
  <sheetProtection formatCells="0" formatColumns="0" formatRows="0" insertColumns="0" insertRows="0" insertHyperlinks="0" deleteColumns="0" deleteRows="0" sort="0" autoFilter="0" pivotTables="0"/>
  <phoneticPr fontId="4" type="noConversion"/>
  <printOptions gridLines="1"/>
  <pageMargins left="0.38" right="0.32" top="0.34" bottom="0.49" header="0.31496062992125984" footer="0.31496062992125984"/>
  <pageSetup paperSize="9" scale="7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43"/>
  <sheetViews>
    <sheetView workbookViewId="0">
      <selection activeCell="D6" sqref="D6"/>
    </sheetView>
  </sheetViews>
  <sheetFormatPr baseColWidth="10" defaultRowHeight="14.4" x14ac:dyDescent="0.3"/>
  <cols>
    <col min="1" max="1" width="16.5546875" customWidth="1"/>
    <col min="2" max="2" width="22.33203125" customWidth="1"/>
    <col min="3" max="3" width="19" style="2" customWidth="1"/>
    <col min="4" max="5" width="14.5546875" customWidth="1"/>
  </cols>
  <sheetData>
    <row r="2" spans="1:4" s="9" customFormat="1" ht="33.75" customHeight="1" x14ac:dyDescent="0.3">
      <c r="A2" s="7"/>
      <c r="B2" s="8" t="s">
        <v>394</v>
      </c>
      <c r="C2" s="13" t="s">
        <v>395</v>
      </c>
      <c r="D2" s="7"/>
    </row>
    <row r="3" spans="1:4" ht="28.5" customHeight="1" x14ac:dyDescent="0.3">
      <c r="A3" s="4" t="s">
        <v>389</v>
      </c>
      <c r="B3" s="5">
        <v>41</v>
      </c>
      <c r="C3" s="14">
        <v>127746485</v>
      </c>
      <c r="D3" s="6">
        <f>C3/199167785</f>
        <v>0.64140134409789218</v>
      </c>
    </row>
    <row r="4" spans="1:4" ht="28.5" customHeight="1" x14ac:dyDescent="0.3">
      <c r="A4" s="4" t="s">
        <v>390</v>
      </c>
      <c r="B4" s="5">
        <v>9</v>
      </c>
      <c r="C4" s="14">
        <v>18215200</v>
      </c>
      <c r="D4" s="6">
        <f t="shared" ref="D4:D7" si="0">C4/199167785</f>
        <v>9.1456557595396268E-2</v>
      </c>
    </row>
    <row r="5" spans="1:4" ht="28.5" customHeight="1" x14ac:dyDescent="0.3">
      <c r="A5" s="4" t="s">
        <v>391</v>
      </c>
      <c r="B5" s="5">
        <v>17</v>
      </c>
      <c r="C5" s="14">
        <v>34278950</v>
      </c>
      <c r="D5" s="6">
        <f t="shared" si="0"/>
        <v>0.17211091643159057</v>
      </c>
    </row>
    <row r="6" spans="1:4" ht="28.5" customHeight="1" x14ac:dyDescent="0.3">
      <c r="A6" s="4" t="s">
        <v>392</v>
      </c>
      <c r="B6" s="5">
        <v>9</v>
      </c>
      <c r="C6" s="14">
        <v>18927150</v>
      </c>
      <c r="D6" s="6">
        <f t="shared" si="0"/>
        <v>9.5031181875121024E-2</v>
      </c>
    </row>
    <row r="7" spans="1:4" ht="20.25" customHeight="1" x14ac:dyDescent="0.3">
      <c r="A7" s="5"/>
      <c r="B7" s="10">
        <f>SUM(B3:B6)</f>
        <v>76</v>
      </c>
      <c r="C7" s="15">
        <f>SUM(C3:C6)</f>
        <v>199167785</v>
      </c>
      <c r="D7" s="6">
        <f t="shared" si="0"/>
        <v>1</v>
      </c>
    </row>
    <row r="33" spans="1:3" x14ac:dyDescent="0.3">
      <c r="A33" s="5"/>
      <c r="B33" s="12" t="s">
        <v>393</v>
      </c>
      <c r="C33" s="15" t="s">
        <v>396</v>
      </c>
    </row>
    <row r="34" spans="1:3" x14ac:dyDescent="0.3">
      <c r="A34" s="11" t="s">
        <v>119</v>
      </c>
      <c r="B34" s="5">
        <v>8</v>
      </c>
      <c r="C34" s="14"/>
    </row>
    <row r="35" spans="1:3" x14ac:dyDescent="0.3">
      <c r="A35" s="11" t="s">
        <v>191</v>
      </c>
      <c r="B35" s="5">
        <v>10</v>
      </c>
      <c r="C35" s="14"/>
    </row>
    <row r="36" spans="1:3" x14ac:dyDescent="0.3">
      <c r="A36" s="11" t="s">
        <v>336</v>
      </c>
      <c r="B36" s="5">
        <v>9</v>
      </c>
      <c r="C36" s="14"/>
    </row>
    <row r="37" spans="1:3" x14ac:dyDescent="0.3">
      <c r="A37" s="11" t="s">
        <v>165</v>
      </c>
      <c r="B37" s="5">
        <v>7</v>
      </c>
      <c r="C37" s="14"/>
    </row>
    <row r="38" spans="1:3" x14ac:dyDescent="0.3">
      <c r="A38" s="11" t="s">
        <v>45</v>
      </c>
      <c r="B38" s="5">
        <v>10</v>
      </c>
      <c r="C38" s="14"/>
    </row>
    <row r="39" spans="1:3" x14ac:dyDescent="0.3">
      <c r="A39" s="11" t="s">
        <v>262</v>
      </c>
      <c r="B39" s="5">
        <v>9</v>
      </c>
      <c r="C39" s="14"/>
    </row>
    <row r="40" spans="1:3" x14ac:dyDescent="0.3">
      <c r="A40" s="11" t="s">
        <v>4</v>
      </c>
      <c r="B40" s="5">
        <v>6</v>
      </c>
      <c r="C40" s="14"/>
    </row>
    <row r="41" spans="1:3" x14ac:dyDescent="0.3">
      <c r="A41" s="11" t="s">
        <v>149</v>
      </c>
      <c r="B41" s="5">
        <v>8</v>
      </c>
      <c r="C41" s="14"/>
    </row>
    <row r="42" spans="1:3" x14ac:dyDescent="0.3">
      <c r="A42" s="11" t="s">
        <v>220</v>
      </c>
      <c r="B42" s="5">
        <v>9</v>
      </c>
      <c r="C42" s="14"/>
    </row>
    <row r="43" spans="1:3" x14ac:dyDescent="0.3">
      <c r="A43" s="5"/>
      <c r="B43" s="10">
        <f>SUM(B34:B42)</f>
        <v>76</v>
      </c>
      <c r="C43" s="1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Worksheet</vt:lpstr>
      <vt:lpstr>Graficos</vt:lpstr>
      <vt:lpstr>Worksheet!Área_de_impresión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Sofìa Carla Cerruti Romero</cp:lastModifiedBy>
  <cp:lastPrinted>2021-11-04T16:32:00Z</cp:lastPrinted>
  <dcterms:created xsi:type="dcterms:W3CDTF">2021-11-01T03:21:42Z</dcterms:created>
  <dcterms:modified xsi:type="dcterms:W3CDTF">2026-05-20T15:40:44Z</dcterms:modified>
</cp:coreProperties>
</file>